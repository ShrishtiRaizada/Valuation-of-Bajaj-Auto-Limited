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SHTIRAIZADA\Downloads\"/>
    </mc:Choice>
  </mc:AlternateContent>
  <xr:revisionPtr revIDLastSave="0" documentId="13_ncr:1_{0D55D4E7-5BDD-4102-BC85-558F16550372}" xr6:coauthVersionLast="47" xr6:coauthVersionMax="47" xr10:uidLastSave="{00000000-0000-0000-0000-000000000000}"/>
  <bookViews>
    <workbookView xWindow="-110" yWindow="-110" windowWidth="19420" windowHeight="11500" activeTab="1" xr2:uid="{B331B077-8281-4AE1-B578-B40DD9D5C233}"/>
  </bookViews>
  <sheets>
    <sheet name="Cover_Page" sheetId="14" r:id="rId1"/>
    <sheet name="DCF" sheetId="13" r:id="rId2"/>
    <sheet name="FCFF_Projections" sheetId="7" r:id="rId3"/>
    <sheet name="WACC" sheetId="10" r:id="rId4"/>
    <sheet name="Net_Working_Capital" sheetId="9" r:id="rId5"/>
    <sheet name="Fixed_Assets" sheetId="8" r:id="rId6"/>
    <sheet name="Risk-free_rate" sheetId="11" r:id="rId7"/>
    <sheet name="Beta_Calculation" sheetId="12" r:id="rId8"/>
    <sheet name="Balance_Sheet (5 years)" sheetId="4" r:id="rId9"/>
    <sheet name="Income_Statement (5 years)" sheetId="5" r:id="rId10"/>
    <sheet name="Cash_Flows (5 years)" sheetId="6" r:id="rId11"/>
    <sheet name="Balance_Sheet" sheetId="1" r:id="rId12"/>
    <sheet name="Income_Statement" sheetId="2" r:id="rId13"/>
    <sheet name="Cash_Flows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3" l="1"/>
  <c r="B20" i="13"/>
  <c r="H14" i="13" s="1"/>
  <c r="B18" i="13"/>
  <c r="B13" i="13"/>
  <c r="G8" i="13" s="1"/>
  <c r="B21" i="7"/>
  <c r="B5" i="8"/>
  <c r="G5" i="9"/>
  <c r="G4" i="9"/>
  <c r="G3" i="9"/>
  <c r="B6" i="9"/>
  <c r="B15" i="7"/>
  <c r="B14" i="7"/>
  <c r="B13" i="7"/>
  <c r="B11" i="7"/>
  <c r="B9" i="7"/>
  <c r="B5" i="7"/>
  <c r="B8" i="10"/>
  <c r="B5" i="10"/>
  <c r="B13" i="10"/>
  <c r="B15" i="10" s="1"/>
  <c r="B12" i="10"/>
  <c r="B27" i="7"/>
  <c r="B3" i="8"/>
  <c r="B28" i="7"/>
  <c r="B29" i="7"/>
  <c r="B7" i="7"/>
  <c r="G4" i="7"/>
  <c r="G27" i="7"/>
  <c r="G3" i="7"/>
  <c r="C25" i="7"/>
  <c r="K14" i="13"/>
  <c r="J14" i="13" s="1"/>
  <c r="B17" i="10" l="1"/>
  <c r="L14" i="13"/>
  <c r="M14" i="13" s="1"/>
  <c r="B3" i="10" l="1"/>
  <c r="B17" i="13"/>
  <c r="C5" i="13"/>
  <c r="D5" i="13"/>
  <c r="E5" i="13"/>
  <c r="B14" i="10"/>
  <c r="B10" i="10"/>
  <c r="L8" i="11"/>
  <c r="B11" i="10"/>
  <c r="I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K6" i="11"/>
  <c r="B7" i="10"/>
  <c r="H17" i="13" l="1"/>
  <c r="B2" i="10"/>
  <c r="C21" i="7"/>
  <c r="D21" i="7"/>
  <c r="E21" i="7"/>
  <c r="C17" i="7"/>
  <c r="C19" i="7"/>
  <c r="D19" i="7"/>
  <c r="E19" i="7"/>
  <c r="F19" i="7"/>
  <c r="B19" i="7"/>
  <c r="C18" i="7"/>
  <c r="D18" i="7"/>
  <c r="D17" i="7" s="1"/>
  <c r="C16" i="7" s="1"/>
  <c r="E18" i="7"/>
  <c r="E17" i="7" s="1"/>
  <c r="D16" i="7" s="1"/>
  <c r="F18" i="7"/>
  <c r="F17" i="7" s="1"/>
  <c r="B18" i="7"/>
  <c r="B17" i="7" s="1"/>
  <c r="B16" i="7" s="1"/>
  <c r="C19" i="9"/>
  <c r="D19" i="9"/>
  <c r="E19" i="9"/>
  <c r="B17" i="9"/>
  <c r="C10" i="9"/>
  <c r="C9" i="9"/>
  <c r="D9" i="9"/>
  <c r="E9" i="9"/>
  <c r="F9" i="9"/>
  <c r="B9" i="9"/>
  <c r="C8" i="9"/>
  <c r="D8" i="9"/>
  <c r="D10" i="9" s="1"/>
  <c r="E8" i="9"/>
  <c r="E10" i="9" s="1"/>
  <c r="F8" i="9"/>
  <c r="F10" i="9" s="1"/>
  <c r="B8" i="9"/>
  <c r="B10" i="9" s="1"/>
  <c r="C15" i="9"/>
  <c r="C18" i="9" s="1"/>
  <c r="D15" i="9"/>
  <c r="D18" i="9" s="1"/>
  <c r="E15" i="9"/>
  <c r="E18" i="9" s="1"/>
  <c r="F15" i="9"/>
  <c r="F18" i="9" s="1"/>
  <c r="B14" i="9"/>
  <c r="B21" i="9" s="1"/>
  <c r="C5" i="9"/>
  <c r="D5" i="9"/>
  <c r="E5" i="9"/>
  <c r="F5" i="9"/>
  <c r="B5" i="9"/>
  <c r="C4" i="9"/>
  <c r="C6" i="9" s="1"/>
  <c r="D4" i="9"/>
  <c r="E4" i="9"/>
  <c r="F4" i="9"/>
  <c r="B4" i="9"/>
  <c r="C3" i="9"/>
  <c r="D3" i="9"/>
  <c r="E3" i="9"/>
  <c r="F3" i="9"/>
  <c r="B3" i="9"/>
  <c r="C15" i="7"/>
  <c r="D15" i="7"/>
  <c r="E15" i="7"/>
  <c r="C12" i="7"/>
  <c r="D12" i="7"/>
  <c r="E12" i="7"/>
  <c r="F12" i="7"/>
  <c r="B12" i="7"/>
  <c r="F10" i="8"/>
  <c r="C11" i="8"/>
  <c r="D11" i="8"/>
  <c r="E11" i="8"/>
  <c r="B11" i="8"/>
  <c r="F11" i="8" s="1"/>
  <c r="C5" i="8"/>
  <c r="D5" i="8"/>
  <c r="E5" i="8"/>
  <c r="C6" i="8"/>
  <c r="D6" i="8"/>
  <c r="E6" i="8"/>
  <c r="B6" i="8"/>
  <c r="C10" i="8"/>
  <c r="D10" i="8"/>
  <c r="E10" i="8"/>
  <c r="B10" i="8"/>
  <c r="G10" i="8" s="1"/>
  <c r="C4" i="8"/>
  <c r="D4" i="8"/>
  <c r="E4" i="8"/>
  <c r="F4" i="8"/>
  <c r="B4" i="8"/>
  <c r="C3" i="8"/>
  <c r="D3" i="8"/>
  <c r="E3" i="8"/>
  <c r="F3" i="8"/>
  <c r="C10" i="7"/>
  <c r="C14" i="7" s="1"/>
  <c r="D10" i="7"/>
  <c r="D14" i="7" s="1"/>
  <c r="E10" i="7"/>
  <c r="E14" i="7" s="1"/>
  <c r="F10" i="7"/>
  <c r="F14" i="7" s="1"/>
  <c r="B10" i="7"/>
  <c r="C8" i="7"/>
  <c r="C7" i="7"/>
  <c r="D7" i="7"/>
  <c r="D8" i="7" s="1"/>
  <c r="E7" i="7"/>
  <c r="F7" i="7"/>
  <c r="D5" i="7"/>
  <c r="D9" i="7" s="1"/>
  <c r="D11" i="7" s="1"/>
  <c r="D13" i="7" s="1"/>
  <c r="C4" i="7"/>
  <c r="D4" i="7"/>
  <c r="E4" i="7"/>
  <c r="F4" i="7"/>
  <c r="B4" i="7"/>
  <c r="A24" i="7"/>
  <c r="E3" i="7"/>
  <c r="F3" i="7"/>
  <c r="D3" i="7"/>
  <c r="D14" i="9" s="1"/>
  <c r="C3" i="7"/>
  <c r="B3" i="7"/>
  <c r="H10" i="8" l="1"/>
  <c r="I10" i="8"/>
  <c r="F5" i="8"/>
  <c r="G11" i="8"/>
  <c r="H18" i="13"/>
  <c r="H19" i="13" s="1"/>
  <c r="H16" i="13"/>
  <c r="H15" i="13" s="1"/>
  <c r="D21" i="9"/>
  <c r="D17" i="9"/>
  <c r="D22" i="9"/>
  <c r="C5" i="7"/>
  <c r="C9" i="7" s="1"/>
  <c r="C11" i="7" s="1"/>
  <c r="C13" i="7" s="1"/>
  <c r="D29" i="7"/>
  <c r="F5" i="7"/>
  <c r="F9" i="7" s="1"/>
  <c r="F11" i="7" s="1"/>
  <c r="F13" i="7" s="1"/>
  <c r="F25" i="7"/>
  <c r="H25" i="7" s="1"/>
  <c r="I25" i="7" s="1"/>
  <c r="C29" i="7"/>
  <c r="E5" i="7"/>
  <c r="E9" i="7" s="1"/>
  <c r="E11" i="7" s="1"/>
  <c r="E13" i="7" s="1"/>
  <c r="E25" i="7"/>
  <c r="E28" i="7"/>
  <c r="E8" i="7"/>
  <c r="F14" i="9"/>
  <c r="B22" i="9"/>
  <c r="E27" i="7"/>
  <c r="E14" i="9"/>
  <c r="D27" i="7"/>
  <c r="D28" i="7"/>
  <c r="G25" i="7"/>
  <c r="E29" i="7"/>
  <c r="D25" i="7"/>
  <c r="F8" i="7"/>
  <c r="F28" i="7"/>
  <c r="B8" i="7"/>
  <c r="F27" i="7"/>
  <c r="C27" i="7"/>
  <c r="C28" i="7"/>
  <c r="C14" i="9"/>
  <c r="B15" i="9"/>
  <c r="F19" i="9"/>
  <c r="E16" i="7"/>
  <c r="F6" i="9"/>
  <c r="D6" i="9"/>
  <c r="E6" i="9"/>
  <c r="H11" i="8"/>
  <c r="J11" i="8" l="1"/>
  <c r="G3" i="8"/>
  <c r="F15" i="7"/>
  <c r="F6" i="8"/>
  <c r="I11" i="8"/>
  <c r="J10" i="8"/>
  <c r="K10" i="8" s="1"/>
  <c r="L10" i="8" s="1"/>
  <c r="G14" i="9"/>
  <c r="G28" i="7"/>
  <c r="G7" i="7" s="1"/>
  <c r="G8" i="7" s="1"/>
  <c r="H28" i="7"/>
  <c r="G15" i="9"/>
  <c r="E17" i="9"/>
  <c r="E21" i="9"/>
  <c r="E22" i="9"/>
  <c r="F21" i="9"/>
  <c r="F22" i="9"/>
  <c r="F17" i="9"/>
  <c r="B19" i="9"/>
  <c r="G19" i="9" s="1"/>
  <c r="B18" i="9"/>
  <c r="G18" i="9" s="1"/>
  <c r="F29" i="7"/>
  <c r="C17" i="9"/>
  <c r="C22" i="9"/>
  <c r="C21" i="9"/>
  <c r="J25" i="7"/>
  <c r="H3" i="7"/>
  <c r="K11" i="8" l="1"/>
  <c r="M11" i="8" s="1"/>
  <c r="M10" i="8"/>
  <c r="L11" i="8"/>
  <c r="G4" i="8"/>
  <c r="G10" i="7" s="1"/>
  <c r="G14" i="7" s="1"/>
  <c r="G5" i="8"/>
  <c r="G15" i="7" s="1"/>
  <c r="G21" i="9"/>
  <c r="I3" i="7"/>
  <c r="H14" i="9"/>
  <c r="G17" i="9"/>
  <c r="H18" i="9"/>
  <c r="G8" i="9"/>
  <c r="B5" i="13"/>
  <c r="G29" i="7"/>
  <c r="H29" i="7" s="1"/>
  <c r="H22" i="9"/>
  <c r="H27" i="7"/>
  <c r="H4" i="7" s="1"/>
  <c r="H15" i="9" s="1"/>
  <c r="I28" i="7"/>
  <c r="H7" i="7"/>
  <c r="H8" i="7" s="1"/>
  <c r="H19" i="9"/>
  <c r="G22" i="9"/>
  <c r="G9" i="9" s="1"/>
  <c r="G5" i="7"/>
  <c r="G9" i="7" s="1"/>
  <c r="G11" i="7" s="1"/>
  <c r="K25" i="7"/>
  <c r="L25" i="7" s="1"/>
  <c r="M25" i="7" s="1"/>
  <c r="G6" i="8" l="1"/>
  <c r="H3" i="8" s="1"/>
  <c r="I27" i="7"/>
  <c r="H5" i="7"/>
  <c r="H9" i="7" s="1"/>
  <c r="I22" i="9"/>
  <c r="I9" i="9" s="1"/>
  <c r="H9" i="9"/>
  <c r="G6" i="9"/>
  <c r="G18" i="7" s="1"/>
  <c r="H17" i="9"/>
  <c r="J17" i="9" s="1"/>
  <c r="H8" i="9"/>
  <c r="H10" i="9" s="1"/>
  <c r="H19" i="7" s="1"/>
  <c r="I14" i="9"/>
  <c r="I7" i="7"/>
  <c r="I8" i="7" s="1"/>
  <c r="J28" i="7"/>
  <c r="K28" i="7"/>
  <c r="J22" i="9"/>
  <c r="H21" i="9"/>
  <c r="J27" i="7"/>
  <c r="I4" i="7"/>
  <c r="I15" i="9" s="1"/>
  <c r="I19" i="9"/>
  <c r="K19" i="9" s="1"/>
  <c r="J19" i="9"/>
  <c r="G10" i="9"/>
  <c r="G19" i="7" s="1"/>
  <c r="J3" i="7"/>
  <c r="G12" i="7"/>
  <c r="G13" i="7" s="1"/>
  <c r="I29" i="7"/>
  <c r="J29" i="7" s="1"/>
  <c r="I18" i="9"/>
  <c r="H4" i="9"/>
  <c r="I17" i="9"/>
  <c r="I3" i="9" s="1"/>
  <c r="H4" i="8" l="1"/>
  <c r="H10" i="7" s="1"/>
  <c r="H14" i="7" s="1"/>
  <c r="H5" i="8"/>
  <c r="H15" i="7" s="1"/>
  <c r="H11" i="7"/>
  <c r="H12" i="7" s="1"/>
  <c r="H13" i="7" s="1"/>
  <c r="G17" i="7"/>
  <c r="F16" i="7" s="1"/>
  <c r="F21" i="7" s="1"/>
  <c r="F5" i="13" s="1"/>
  <c r="I4" i="9"/>
  <c r="I6" i="9" s="1"/>
  <c r="I18" i="7" s="1"/>
  <c r="I21" i="9"/>
  <c r="I5" i="9" s="1"/>
  <c r="H5" i="9"/>
  <c r="J21" i="9"/>
  <c r="J9" i="9"/>
  <c r="L28" i="7"/>
  <c r="K7" i="7"/>
  <c r="K8" i="7" s="1"/>
  <c r="J7" i="7"/>
  <c r="J8" i="7" s="1"/>
  <c r="K3" i="7"/>
  <c r="J14" i="9"/>
  <c r="J3" i="9" s="1"/>
  <c r="I5" i="7"/>
  <c r="I9" i="7" s="1"/>
  <c r="I8" i="9"/>
  <c r="I10" i="9" s="1"/>
  <c r="I19" i="7" s="1"/>
  <c r="L19" i="9"/>
  <c r="H3" i="9"/>
  <c r="H6" i="9" s="1"/>
  <c r="H18" i="7" s="1"/>
  <c r="H17" i="7" s="1"/>
  <c r="G16" i="7" s="1"/>
  <c r="G21" i="7" s="1"/>
  <c r="G5" i="13" s="1"/>
  <c r="K17" i="9"/>
  <c r="K27" i="7"/>
  <c r="J4" i="7"/>
  <c r="J15" i="9" s="1"/>
  <c r="J8" i="9" s="1"/>
  <c r="K22" i="9"/>
  <c r="K29" i="7"/>
  <c r="J18" i="9"/>
  <c r="H6" i="8" l="1"/>
  <c r="I3" i="8" s="1"/>
  <c r="I17" i="7"/>
  <c r="H16" i="7" s="1"/>
  <c r="H21" i="7" s="1"/>
  <c r="H5" i="13" s="1"/>
  <c r="H8" i="13" s="1"/>
  <c r="J5" i="7"/>
  <c r="J9" i="7" s="1"/>
  <c r="J4" i="9"/>
  <c r="J10" i="9"/>
  <c r="J19" i="7" s="1"/>
  <c r="K18" i="9"/>
  <c r="L22" i="9"/>
  <c r="L29" i="7"/>
  <c r="L7" i="7"/>
  <c r="L8" i="7" s="1"/>
  <c r="M17" i="9"/>
  <c r="M19" i="9"/>
  <c r="K21" i="9"/>
  <c r="J5" i="9"/>
  <c r="L17" i="9"/>
  <c r="K14" i="9"/>
  <c r="K9" i="9" s="1"/>
  <c r="L3" i="7"/>
  <c r="L27" i="7"/>
  <c r="K4" i="7"/>
  <c r="K15" i="9" s="1"/>
  <c r="K8" i="9" s="1"/>
  <c r="M28" i="7"/>
  <c r="I5" i="8" l="1"/>
  <c r="I15" i="7" s="1"/>
  <c r="I4" i="8"/>
  <c r="J6" i="9"/>
  <c r="J18" i="7" s="1"/>
  <c r="J17" i="7" s="1"/>
  <c r="I16" i="7" s="1"/>
  <c r="M27" i="7"/>
  <c r="L4" i="7"/>
  <c r="L15" i="9" s="1"/>
  <c r="L8" i="9" s="1"/>
  <c r="K3" i="9"/>
  <c r="M29" i="7"/>
  <c r="M22" i="9"/>
  <c r="L9" i="9"/>
  <c r="M18" i="9"/>
  <c r="K4" i="9"/>
  <c r="L18" i="9"/>
  <c r="L21" i="9"/>
  <c r="K5" i="9"/>
  <c r="K10" i="9"/>
  <c r="K19" i="7" s="1"/>
  <c r="M3" i="7"/>
  <c r="L14" i="9"/>
  <c r="L5" i="7"/>
  <c r="L9" i="7" s="1"/>
  <c r="K5" i="7"/>
  <c r="K9" i="7" s="1"/>
  <c r="L3" i="9"/>
  <c r="I6" i="8" l="1"/>
  <c r="J3" i="8" s="1"/>
  <c r="I10" i="7"/>
  <c r="L4" i="9"/>
  <c r="K6" i="9"/>
  <c r="K18" i="7" s="1"/>
  <c r="K17" i="7" s="1"/>
  <c r="J16" i="7" s="1"/>
  <c r="M14" i="9"/>
  <c r="M3" i="9" s="1"/>
  <c r="L6" i="9"/>
  <c r="L18" i="7" s="1"/>
  <c r="L10" i="9"/>
  <c r="L19" i="7" s="1"/>
  <c r="M4" i="7"/>
  <c r="M15" i="9" s="1"/>
  <c r="M8" i="9" s="1"/>
  <c r="L5" i="9"/>
  <c r="M21" i="9"/>
  <c r="M7" i="7"/>
  <c r="M8" i="7" s="1"/>
  <c r="J5" i="8" l="1"/>
  <c r="J15" i="7" s="1"/>
  <c r="J4" i="8"/>
  <c r="I14" i="7"/>
  <c r="I11" i="7"/>
  <c r="I12" i="7" s="1"/>
  <c r="I13" i="7" s="1"/>
  <c r="L17" i="7"/>
  <c r="K16" i="7" s="1"/>
  <c r="M4" i="9"/>
  <c r="M6" i="9"/>
  <c r="M18" i="7" s="1"/>
  <c r="M5" i="9"/>
  <c r="M5" i="7"/>
  <c r="M9" i="7" s="1"/>
  <c r="M9" i="9"/>
  <c r="M10" i="9" s="1"/>
  <c r="M19" i="7" s="1"/>
  <c r="I21" i="7" l="1"/>
  <c r="I5" i="13" s="1"/>
  <c r="I8" i="13" s="1"/>
  <c r="J6" i="8"/>
  <c r="K3" i="8" s="1"/>
  <c r="J10" i="7"/>
  <c r="M17" i="7"/>
  <c r="J14" i="7" l="1"/>
  <c r="J11" i="7"/>
  <c r="J12" i="7" s="1"/>
  <c r="J13" i="7" s="1"/>
  <c r="J21" i="7" s="1"/>
  <c r="J5" i="13" s="1"/>
  <c r="J8" i="13" s="1"/>
  <c r="K4" i="8"/>
  <c r="K5" i="8"/>
  <c r="K15" i="7" s="1"/>
  <c r="M16" i="7"/>
  <c r="L16" i="7"/>
  <c r="K6" i="8" l="1"/>
  <c r="L3" i="8" s="1"/>
  <c r="K10" i="7"/>
  <c r="L4" i="8" l="1"/>
  <c r="L10" i="7" s="1"/>
  <c r="L5" i="8"/>
  <c r="L15" i="7" s="1"/>
  <c r="K14" i="7"/>
  <c r="K11" i="7"/>
  <c r="K12" i="7" s="1"/>
  <c r="K13" i="7" s="1"/>
  <c r="K21" i="7" s="1"/>
  <c r="K5" i="13" s="1"/>
  <c r="K8" i="13" s="1"/>
  <c r="L14" i="7" l="1"/>
  <c r="L11" i="7"/>
  <c r="L12" i="7" s="1"/>
  <c r="L13" i="7" s="1"/>
  <c r="L21" i="7" s="1"/>
  <c r="L5" i="13" s="1"/>
  <c r="L8" i="13" s="1"/>
  <c r="L6" i="8"/>
  <c r="M3" i="8" s="1"/>
  <c r="M4" i="8" l="1"/>
  <c r="M10" i="7" s="1"/>
  <c r="M5" i="8"/>
  <c r="M6" i="8" l="1"/>
  <c r="M15" i="7"/>
  <c r="M14" i="7"/>
  <c r="M11" i="7"/>
  <c r="M12" i="7" s="1"/>
  <c r="M13" i="7" s="1"/>
  <c r="M21" i="7" l="1"/>
  <c r="M5" i="13" s="1"/>
  <c r="M8" i="13" s="1"/>
  <c r="B11" i="13" l="1"/>
  <c r="B14" i="13"/>
  <c r="B15" i="13" s="1"/>
  <c r="B16" i="13" l="1"/>
</calcChain>
</file>

<file path=xl/sharedStrings.xml><?xml version="1.0" encoding="utf-8"?>
<sst xmlns="http://schemas.openxmlformats.org/spreadsheetml/2006/main" count="448" uniqueCount="228">
  <si>
    <t>Bajaj Auto Ltd. - Balance Sheet - Standalone-Abridged-Actual - [INR-Crores]</t>
  </si>
  <si>
    <t>Particulars</t>
  </si>
  <si>
    <t>Mar-2025</t>
  </si>
  <si>
    <t>Mar-2024</t>
  </si>
  <si>
    <t>Mar-2023</t>
  </si>
  <si>
    <t>Mar-2022</t>
  </si>
  <si>
    <t>Mar-2021</t>
  </si>
  <si>
    <t>Mar-2020</t>
  </si>
  <si>
    <t>Mar-2019</t>
  </si>
  <si>
    <t>Mar-2018</t>
  </si>
  <si>
    <t>Mar-2017</t>
  </si>
  <si>
    <t>Mar-2016</t>
  </si>
  <si>
    <t>Mar-2015</t>
  </si>
  <si>
    <t>Mar-2014</t>
  </si>
  <si>
    <t>Mar-2013</t>
  </si>
  <si>
    <t>Mar-2012</t>
  </si>
  <si>
    <t>Mar-2011</t>
  </si>
  <si>
    <t>Mar-2010</t>
  </si>
  <si>
    <t>Mar-2009</t>
  </si>
  <si>
    <t>Mar-2008</t>
  </si>
  <si>
    <t>       </t>
  </si>
  <si>
    <t>EQUITY AND LIABILITIES</t>
  </si>
  <si>
    <t>Share Capital</t>
  </si>
  <si>
    <t>Share Warrants &amp; Outstandings</t>
  </si>
  <si>
    <t>Total Reserves</t>
  </si>
  <si>
    <t>Shareholder's Funds</t>
  </si>
  <si>
    <t>Long-Term Borrowings</t>
  </si>
  <si>
    <t>Secured Loans</t>
  </si>
  <si>
    <t>Unsecured Loans</t>
  </si>
  <si>
    <t>Deferred Tax Assets / Liabilities</t>
  </si>
  <si>
    <t>Other Long Term Liabilities</t>
  </si>
  <si>
    <t>Long Term Trade Payables</t>
  </si>
  <si>
    <t>Long Term Provisions</t>
  </si>
  <si>
    <t>Total Non-Current Liabilities</t>
  </si>
  <si>
    <t>Current Liabilities</t>
  </si>
  <si>
    <t>Trade Payables</t>
  </si>
  <si>
    <t>Other Current Liabilities</t>
  </si>
  <si>
    <t>Short Term Borrowings</t>
  </si>
  <si>
    <t>Short Term Provisions</t>
  </si>
  <si>
    <t>Total Current Liabilities</t>
  </si>
  <si>
    <t>Liabilities as Held for Sale and Discontinued Operations</t>
  </si>
  <si>
    <t>Total Liabilities</t>
  </si>
  <si>
    <t>ASSETS</t>
  </si>
  <si>
    <t>Non-Current Assets</t>
  </si>
  <si>
    <t>Gross Block</t>
  </si>
  <si>
    <t>Less: Accumulated Depreciation</t>
  </si>
  <si>
    <t>Less: Impairment of Assets</t>
  </si>
  <si>
    <t>Net Block</t>
  </si>
  <si>
    <t>Lease Adjustment A/c</t>
  </si>
  <si>
    <t>Capital Work in Progress</t>
  </si>
  <si>
    <t>Intangible assets under development</t>
  </si>
  <si>
    <t>Pre-operative Expenses pending</t>
  </si>
  <si>
    <t>Assets in transit</t>
  </si>
  <si>
    <t>Non Current Investments</t>
  </si>
  <si>
    <t>Long Term Loans &amp; Advances</t>
  </si>
  <si>
    <t>Other Non Current Assets</t>
  </si>
  <si>
    <t>Total Non-Current Assets</t>
  </si>
  <si>
    <t>Current Assets  Loans &amp; Advances</t>
  </si>
  <si>
    <t>Currents Investments</t>
  </si>
  <si>
    <t>Inventories</t>
  </si>
  <si>
    <t>Sundry Debtors</t>
  </si>
  <si>
    <t>Cash and Bank</t>
  </si>
  <si>
    <t>Other Current Assets</t>
  </si>
  <si>
    <t>Short Term Loans and Advances</t>
  </si>
  <si>
    <t>Total Current Assets</t>
  </si>
  <si>
    <t>Assets as Held for Sale and Discontinued Operations</t>
  </si>
  <si>
    <t>Net Current Assets (Including Current Investments)</t>
  </si>
  <si>
    <t>Total Current Assets Excluding Current Investments</t>
  </si>
  <si>
    <t>Miscellaneous Expenses not written off</t>
  </si>
  <si>
    <t>Total Assets</t>
  </si>
  <si>
    <t>Contingent Liabilities</t>
  </si>
  <si>
    <t>Total Debt (Long Term Plus Short Term)</t>
  </si>
  <si>
    <t>Book Value</t>
  </si>
  <si>
    <t>Adjusted Book Value</t>
  </si>
  <si>
    <t>Bajaj Auto Ltd. - Profit And Loss - Standalone-Abridged-Actual-Reported - [INR-Crores]</t>
  </si>
  <si>
    <t>No of Months</t>
  </si>
  <si>
    <t>INCOME :</t>
  </si>
  <si>
    <t>Gross Sales</t>
  </si>
  <si>
    <t>Less: Inter divisional transfers</t>
  </si>
  <si>
    <t>Less: Sales Returns</t>
  </si>
  <si>
    <t>Less: Excise / GST</t>
  </si>
  <si>
    <t>Net Sales</t>
  </si>
  <si>
    <t>EXPENDITURE :</t>
  </si>
  <si>
    <t>Increase/Decrease in Stock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</si>
  <si>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</si>
  <si>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</si>
  <si>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</si>
  <si>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</si>
  <si>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</si>
  <si>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</si>
  <si>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</si>
  <si>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Less: Expenses Capitalised</t>
  </si>
  <si>
    <t>Total Expenditure</t>
  </si>
  <si>
    <t>Operating Profit (Excl OI)</t>
  </si>
  <si>
    <t>Other Income</t>
  </si>
  <si>
    <t>Operating Profit</t>
  </si>
  <si>
    <t>Interest</t>
  </si>
  <si>
    <t>PBDT</t>
  </si>
  <si>
    <t>Depreciation</t>
  </si>
  <si>
    <t>Profit Before Taxation &amp; Exceptional Items</t>
  </si>
  <si>
    <t>Share of Profit/Loss of JV &amp; Associates</t>
  </si>
  <si>
    <t>Exceptional Income / Expenses</t>
  </si>
  <si>
    <t>Profit Before Tax</t>
  </si>
  <si>
    <t>Provision for Tax</t>
  </si>
  <si>
    <t>Profit After Tax</t>
  </si>
  <si>
    <t>Discontinued Operations</t>
  </si>
  <si>
    <t>Profit Before Tax from Discontinued Operations</t>
  </si>
  <si>
    <t>Tax from Discontinued Operations</t>
  </si>
  <si>
    <t>Profit After Tax from Discontinued Operations</t>
  </si>
  <si>
    <t>Extra items</t>
  </si>
  <si>
    <t>Adjustments to PAT</t>
  </si>
  <si>
    <t>Profit Balance B/F</t>
  </si>
  <si>
    <t>Appropriations</t>
  </si>
  <si>
    <t>Equity Dividend %</t>
  </si>
  <si>
    <t>Earnings Per Share(Calculated)</t>
  </si>
  <si>
    <t>Adjusted EPS</t>
  </si>
  <si>
    <t>EPS - Basic (Reported)</t>
  </si>
  <si>
    <t>EPS - Diluted (Reported)</t>
  </si>
  <si>
    <t>Bajaj Auto Ltd. - Cash Flow - Standalone-Abridged-Actual - [INR-Crores]</t>
  </si>
  <si>
    <t>Adjustment</t>
  </si>
  <si>
    <t>Changes In working Capital</t>
  </si>
  <si>
    <t>Cash Flow after changes in Working Capital</t>
  </si>
  <si>
    <t>Interest Paid</t>
  </si>
  <si>
    <t>Tax Paid</t>
  </si>
  <si>
    <t>Other Direct Expenses paid</t>
  </si>
  <si>
    <t>Extra &amp; Other Item</t>
  </si>
  <si>
    <t>Cash From Operating Activities</t>
  </si>
  <si>
    <t>Cash Flow from Investing Activities</t>
  </si>
  <si>
    <t>Cash from Financing Activities</t>
  </si>
  <si>
    <t>Net Cash Inflow / Outflow</t>
  </si>
  <si>
    <t>Opening Cash &amp; Cash Equivalents</t>
  </si>
  <si>
    <t>Cash &amp; Cash Equivalent on Amalgamation / Take over / Merger</t>
  </si>
  <si>
    <t>Cash &amp; Cash Equivalent of Subsidiaries under liquidations</t>
  </si>
  <si>
    <t>Translation adj. on reserves / op cash balances  frgn subsidiaries</t>
  </si>
  <si>
    <t>Effect of Foreign Exchange Fluctuations</t>
  </si>
  <si>
    <t>Closing Cash &amp; Cash Equivalent</t>
  </si>
  <si>
    <t>Projections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</si>
  <si>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</si>
  <si>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</si>
  <si>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</si>
  <si>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</si>
  <si>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</si>
  <si>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</si>
  <si>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</si>
  <si>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</si>
  <si>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</si>
  <si>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</si>
  <si>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</si>
  <si>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</si>
  <si>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</si>
  <si>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</si>
  <si>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</si>
  <si>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</si>
  <si>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</si>
  <si>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</si>
  <si>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</si>
  <si>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</si>
  <si>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</si>
  <si>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</si>
  <si>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</si>
  <si>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</si>
  <si>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Fiscal Year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</si>
  <si>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</si>
  <si>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</si>
  <si>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</si>
  <si>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</si>
  <si>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</si>
  <si>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</si>
  <si>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</si>
  <si>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</si>
  <si>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</si>
  <si>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Accounts Payable</t>
  </si>
  <si>
    <t>Days Sales Outstanding (DSO)</t>
  </si>
  <si>
    <t>Days Inventory Outstanding (DIO)</t>
  </si>
  <si>
    <t>Days Payable Outstanding (DPO)</t>
  </si>
  <si>
    <t>Other Current Assets as a % of Revenue</t>
  </si>
  <si>
    <t>Other Current Liabilities as a % of Revenue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</si>
  <si>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</si>
  <si>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</si>
  <si>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</si>
  <si>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</si>
  <si>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</si>
  <si>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</si>
  <si>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</si>
  <si>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</si>
  <si>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</si>
  <si>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</si>
  <si>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</si>
  <si>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</si>
  <si>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WACC</t>
  </si>
  <si>
    <t>Weighted Average Cost of Capital (WACC)</t>
  </si>
  <si>
    <t>India's 10 years Government Bond Yield history</t>
  </si>
  <si>
    <t>Date</t>
  </si>
  <si>
    <t>Price</t>
  </si>
  <si>
    <t>Open</t>
  </si>
  <si>
    <t>High</t>
  </si>
  <si>
    <t>Low</t>
  </si>
  <si>
    <t>Change %</t>
  </si>
  <si>
    <t>Risk-free rate</t>
  </si>
  <si>
    <t>Market Return (BSE500)</t>
  </si>
  <si>
    <t>Year</t>
  </si>
  <si>
    <t>Close</t>
  </si>
  <si>
    <t>Returns</t>
  </si>
  <si>
    <t>Rm (Market return)</t>
  </si>
  <si>
    <t>Bajaj Auto Ltd. - Beta Analysis - 2009-01-01-2025-08-10 - [INR-Crores]</t>
  </si>
  <si>
    <t>BSE500</t>
  </si>
  <si>
    <t>NIFTY</t>
  </si>
  <si>
    <t>Source : Ace Equity</t>
  </si>
  <si>
    <t>Projection Year</t>
  </si>
  <si>
    <t>Present Value of Free Cash Flow</t>
  </si>
  <si>
    <t>Sum of PV of FCF</t>
  </si>
  <si>
    <t>Growth Rate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</si>
  <si>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</si>
  <si>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</si>
  <si>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</si>
  <si>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</si>
  <si>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</si>
  <si>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</si>
  <si>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</si>
  <si>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</si>
  <si>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</si>
  <si>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Unlevered Free Cash Flow (Cr)</t>
  </si>
  <si>
    <t>Sensitivity Table</t>
  </si>
  <si>
    <t>Shrishti Raizada</t>
  </si>
  <si>
    <t>MBA24253</t>
  </si>
  <si>
    <t xml:space="preserve">Sec B </t>
  </si>
  <si>
    <t>Bajaj Auto Limited</t>
  </si>
  <si>
    <t>Business Valuation (Individual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</si>
</sst>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D5E97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4"/>
      <name val="Calibri"/>
      <family val="2"/>
      <scheme val="minor"/>
    </font>
    <font>
      <sz val="26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rgb="FFF1FBFF"/>
        </stop>
        <stop position="1">
          <color rgb="FFF1FBFF"/>
        </stop>
      </gradientFill>
    </fill>
    <fill>
      <patternFill patternType="solid">
        <fgColor rgb="FF2A3E68"/>
        <bgColor rgb="FF2A3E68"/>
      </patternFill>
    </fill>
    <fill>
      <patternFill patternType="solid">
        <fgColor rgb="FFD9E2F3"/>
        <bgColor rgb="FFD9E2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2A3E68"/>
      </patternFill>
    </fill>
    <fill>
      <patternFill patternType="solid">
        <fgColor theme="4" tint="0.39997558519241921"/>
        <bgColor rgb="FFFFFF99"/>
      </patternFill>
    </fill>
    <fill>
      <patternFill patternType="solid">
        <fgColor theme="4" tint="0.39997558519241921"/>
        <bgColor rgb="FFD9E2F3"/>
      </patternFill>
    </fill>
    <fill>
      <patternFill patternType="solid">
        <fgColor theme="4" tint="0.39997558519241921"/>
        <bgColor auto="1"/>
      </patternFill>
    </fill>
  </fills>
  <borders count="15">
    <border>
      <left/>
      <right/>
      <top/>
      <bottom/>
      <diagonal/>
    </border>
    <border>
      <left style="thin">
        <color rgb="FFDBE6EB"/>
      </left>
      <right style="thin">
        <color rgb="FFDBE6EB"/>
      </right>
      <top style="thin">
        <color rgb="FFDBE6EB"/>
      </top>
      <bottom style="thin">
        <color rgb="FFDBE6EB"/>
      </bottom>
      <diagonal/>
    </border>
    <border>
      <left/>
      <right/>
      <top/>
      <bottom style="thin">
        <color rgb="FFDBE6EB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BE6EB"/>
      </left>
      <right style="thin">
        <color rgb="FFDBE6EB"/>
      </right>
      <top style="thin">
        <color rgb="FFDBE6EB"/>
      </top>
      <bottom/>
      <diagonal/>
    </border>
    <border>
      <left/>
      <right style="thin">
        <color rgb="FFDBE6EB"/>
      </right>
      <top style="thin">
        <color rgb="FFDBE6EB"/>
      </top>
      <bottom style="thin">
        <color rgb="FFDBE6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/>
    <xf numFmtId="17" fontId="4" fillId="2" borderId="1" xfId="0" applyNumberFormat="1" applyFont="1" applyFill="1" applyBorder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2" fillId="6" borderId="0" xfId="0" applyFont="1" applyFill="1"/>
    <xf numFmtId="0" fontId="2" fillId="0" borderId="7" xfId="2" applyFont="1" applyBorder="1"/>
    <xf numFmtId="0" fontId="1" fillId="0" borderId="7" xfId="2" applyBorder="1"/>
    <xf numFmtId="9" fontId="0" fillId="0" borderId="0" xfId="0" applyNumberFormat="1"/>
    <xf numFmtId="2" fontId="0" fillId="0" borderId="0" xfId="1" applyNumberFormat="1" applyFont="1"/>
    <xf numFmtId="0" fontId="4" fillId="2" borderId="8" xfId="0" applyFont="1" applyFill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4" fillId="2" borderId="9" xfId="0" applyFont="1" applyFill="1" applyBorder="1"/>
    <xf numFmtId="0" fontId="6" fillId="7" borderId="0" xfId="0" applyFont="1" applyFill="1"/>
    <xf numFmtId="0" fontId="5" fillId="4" borderId="0" xfId="0" applyFont="1" applyFill="1"/>
    <xf numFmtId="0" fontId="2" fillId="6" borderId="2" xfId="0" applyFont="1" applyFill="1" applyBorder="1" applyAlignment="1">
      <alignment horizontal="center"/>
    </xf>
    <xf numFmtId="0" fontId="5" fillId="9" borderId="0" xfId="0" applyFont="1" applyFill="1"/>
    <xf numFmtId="0" fontId="3" fillId="6" borderId="0" xfId="0" applyFont="1" applyFill="1"/>
    <xf numFmtId="0" fontId="6" fillId="8" borderId="3" xfId="0" applyFont="1" applyFill="1" applyBorder="1"/>
    <xf numFmtId="0" fontId="7" fillId="3" borderId="0" xfId="0" applyFont="1" applyFill="1"/>
    <xf numFmtId="0" fontId="6" fillId="6" borderId="0" xfId="0" applyFont="1" applyFill="1"/>
    <xf numFmtId="0" fontId="7" fillId="0" borderId="0" xfId="0" applyFont="1"/>
    <xf numFmtId="0" fontId="6" fillId="8" borderId="0" xfId="0" applyFont="1" applyFill="1"/>
    <xf numFmtId="0" fontId="5" fillId="10" borderId="1" xfId="0" applyFont="1" applyFill="1" applyBorder="1"/>
    <xf numFmtId="0" fontId="0" fillId="0" borderId="13" xfId="0" applyBorder="1"/>
    <xf numFmtId="0" fontId="0" fillId="0" borderId="14" xfId="0" applyBorder="1"/>
    <xf numFmtId="0" fontId="5" fillId="0" borderId="13" xfId="0" applyFont="1" applyBorder="1"/>
    <xf numFmtId="4" fontId="5" fillId="0" borderId="0" xfId="0" applyNumberFormat="1" applyFont="1"/>
    <xf numFmtId="10" fontId="5" fillId="9" borderId="0" xfId="0" applyNumberFormat="1" applyFont="1" applyFill="1"/>
    <xf numFmtId="10" fontId="5" fillId="9" borderId="14" xfId="0" applyNumberFormat="1" applyFont="1" applyFill="1" applyBorder="1"/>
    <xf numFmtId="4" fontId="5" fillId="0" borderId="14" xfId="0" applyNumberFormat="1" applyFont="1" applyBorder="1"/>
    <xf numFmtId="4" fontId="5" fillId="9" borderId="0" xfId="0" applyNumberFormat="1" applyFont="1" applyFill="1"/>
    <xf numFmtId="4" fontId="7" fillId="3" borderId="0" xfId="0" applyNumberFormat="1" applyFont="1" applyFill="1"/>
    <xf numFmtId="10" fontId="5" fillId="9" borderId="5" xfId="0" applyNumberFormat="1" applyFont="1" applyFill="1" applyBorder="1"/>
    <xf numFmtId="4" fontId="5" fillId="0" borderId="5" xfId="0" applyNumberFormat="1" applyFont="1" applyBorder="1"/>
    <xf numFmtId="4" fontId="5" fillId="0" borderId="6" xfId="0" applyNumberFormat="1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6" borderId="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7" fillId="3" borderId="0" xfId="0" applyFont="1" applyFill="1" applyAlignment="1">
      <alignment horizontal="center"/>
    </xf>
    <xf numFmtId="0" fontId="8" fillId="0" borderId="0" xfId="0" applyFont="1"/>
    <xf numFmtId="0" fontId="8" fillId="0" borderId="14" xfId="0" applyFont="1" applyBorder="1"/>
    <xf numFmtId="0" fontId="7" fillId="3" borderId="13" xfId="0" applyFont="1" applyFill="1" applyBorder="1" applyAlignment="1">
      <alignment horizontal="center" vertical="center" textRotation="90"/>
    </xf>
    <xf numFmtId="0" fontId="8" fillId="0" borderId="13" xfId="0" applyFont="1" applyBorder="1"/>
    <xf numFmtId="0" fontId="8" fillId="0" borderId="4" xfId="0" applyFont="1" applyBorder="1"/>
    <xf numFmtId="0" fontId="6" fillId="7" borderId="0" xfId="0" applyFont="1" applyFill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</cellXfs>
  <cellStyles count="3">
    <cellStyle name="Normal" xfId="0" builtinId="0"/>
    <cellStyle name="Normal 3" xfId="2" xr:uid="{553A6E14-6FDD-4534-ABD3-CDEA39AEE2F2}"/>
    <cellStyle name="Percent" xfId="1" builtinId="5"/>
  </cellStyles>
  <dxfs count="3">
    <dxf>
      <numFmt numFmtId="14" formatCode="0.00%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D5ABD-04B1-4E62-826B-C8ADECCE6EB3}" name="Table1" displayName="Table1" ref="B3:G123" totalsRowShown="0" headerRowDxfId="2">
  <autoFilter ref="B3:G123" xr:uid="{3AED5ABD-04B1-4E62-826B-C8ADECCE6EB3}"/>
  <tableColumns count="6">
    <tableColumn id="1" xr3:uid="{F2A679A4-D03B-45FE-82D2-C5A793A2F9C1}" name="Date" dataDxfId="1"/>
    <tableColumn id="2" xr3:uid="{A19A5278-D468-431E-BCF7-07D33B094BC9}" name="Price"/>
    <tableColumn id="3" xr3:uid="{4B070A56-0C25-46A6-89FC-4E5428AB9CA4}" name="Open"/>
    <tableColumn id="4" xr3:uid="{E027733C-BCC6-488F-B9AF-6C31E29FC019}" name="High"/>
    <tableColumn id="5" xr3:uid="{88EE7322-A460-4BC4-B943-634D228CD6A0}" name="Low"/>
    <tableColumn id="6" xr3:uid="{AFBD27BC-A9AE-45BA-A3CA-F963711206A8}" name="Change %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8162-236D-4C0D-9D23-5FF8D262B463}">
  <dimension ref="E4:M9"/>
  <sheetViews>
    <sheetView showGridLines="0" workbookViewId="0">
      <selection activeCell="M9" sqref="M9"/>
    </sheetView>
  </sheetViews>
  <sheetFormatPr defaultRowHeight="14.5" x14ac:dyDescent="0.35"/>
  <sheetData>
    <row r="4" spans="5:13" ht="33.5" x14ac:dyDescent="0.75">
      <c r="G4" s="47" t="s">
        <v>227</v>
      </c>
      <c r="J4" s="47"/>
      <c r="K4" s="48"/>
      <c r="L4" s="48"/>
      <c r="M4" s="49"/>
    </row>
    <row r="5" spans="5:13" ht="33.5" x14ac:dyDescent="0.75">
      <c r="I5" s="47" t="s">
        <v>223</v>
      </c>
      <c r="J5" s="47"/>
      <c r="K5" s="48"/>
      <c r="L5" s="48"/>
      <c r="M5" s="49"/>
    </row>
    <row r="6" spans="5:13" ht="33.5" x14ac:dyDescent="0.75">
      <c r="I6" s="47" t="s">
        <v>224</v>
      </c>
      <c r="J6" s="47"/>
      <c r="K6" s="48"/>
      <c r="L6" s="48"/>
      <c r="M6" s="49"/>
    </row>
    <row r="7" spans="5:13" ht="33.5" x14ac:dyDescent="0.75">
      <c r="I7" s="47" t="s">
        <v>225</v>
      </c>
      <c r="J7" s="47"/>
      <c r="K7" s="48"/>
      <c r="L7" s="48"/>
      <c r="M7" s="49"/>
    </row>
    <row r="8" spans="5:13" ht="33.5" x14ac:dyDescent="0.75">
      <c r="I8" s="47" t="s">
        <v>226</v>
      </c>
      <c r="J8" s="47"/>
      <c r="K8" s="48"/>
      <c r="L8" s="48"/>
      <c r="M8" s="49"/>
    </row>
    <row r="9" spans="5:13" ht="23.5" x14ac:dyDescent="0.55000000000000004">
      <c r="E9" s="46"/>
      <c r="F9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0B10-DB4D-4F6D-B3F9-1ED01B77C098}">
  <dimension ref="A1:M22"/>
  <sheetViews>
    <sheetView tabSelected="1" topLeftCell="A3" workbookViewId="0">
      <selection activeCell="D17" sqref="D17"/>
    </sheetView>
  </sheetViews>
  <sheetFormatPr defaultRowHeight="14.5" x14ac:dyDescent="0.35"/>
  <cols>
    <col min="1" max="1" width="28.54296875" customWidth="1"/>
    <col min="2" max="2" width="9.36328125" bestFit="1" customWidth="1"/>
  </cols>
  <sheetData>
    <row r="1" spans="1:13" x14ac:dyDescent="0.35">
      <c r="A1" s="23" t="s">
        <v>221</v>
      </c>
      <c r="G1" s="50" t="s">
        <v>136</v>
      </c>
      <c r="H1" s="50"/>
      <c r="I1" s="50"/>
      <c r="J1" s="50"/>
      <c r="K1" s="50"/>
      <c r="L1" s="50"/>
      <c r="M1" s="50"/>
    </row>
    <row r="2" spans="1:13" x14ac:dyDescent="0.35">
      <c r="A2" s="18" t="s">
        <v>208</v>
      </c>
      <c r="G2" s="25">
        <v>1</v>
      </c>
      <c r="H2" s="25">
        <v>2</v>
      </c>
      <c r="I2" s="25">
        <v>3</v>
      </c>
      <c r="J2" s="25">
        <v>4</v>
      </c>
      <c r="K2" s="25">
        <v>5</v>
      </c>
      <c r="L2" s="25">
        <v>6</v>
      </c>
      <c r="M2" s="25">
        <v>7</v>
      </c>
    </row>
    <row r="3" spans="1:13" x14ac:dyDescent="0.35">
      <c r="A3" s="26" t="s">
        <v>161</v>
      </c>
      <c r="B3" s="22" t="s">
        <v>6</v>
      </c>
      <c r="C3" s="3" t="s">
        <v>5</v>
      </c>
      <c r="D3" s="3" t="s">
        <v>4</v>
      </c>
      <c r="E3" s="4">
        <v>45352</v>
      </c>
      <c r="F3" s="3" t="s">
        <v>2</v>
      </c>
      <c r="G3" s="4">
        <v>46082</v>
      </c>
      <c r="H3" s="4">
        <v>46447</v>
      </c>
      <c r="I3" s="4">
        <v>46813</v>
      </c>
      <c r="J3" s="4">
        <v>47178</v>
      </c>
      <c r="K3" s="4">
        <v>47543</v>
      </c>
      <c r="L3" s="4">
        <v>47908</v>
      </c>
      <c r="M3" s="4">
        <v>48274</v>
      </c>
    </row>
    <row r="5" spans="1:13" x14ac:dyDescent="0.35">
      <c r="A5" s="2" t="s">
        <v>154</v>
      </c>
      <c r="B5" s="7">
        <f>FCFF_Projections!B21</f>
        <v>5398.4</v>
      </c>
      <c r="C5" s="7">
        <f>FCFF_Projections!C21</f>
        <v>6198.43</v>
      </c>
      <c r="D5" s="7">
        <f>FCFF_Projections!D21</f>
        <v>9122.7999999999975</v>
      </c>
      <c r="E5" s="7">
        <f>FCFF_Projections!E21</f>
        <v>7984.0700000000052</v>
      </c>
      <c r="F5" s="7">
        <f>FCFF_Projections!F21</f>
        <v>9981.9896558254732</v>
      </c>
      <c r="G5" s="7">
        <f>FCFF_Projections!G21</f>
        <v>11350.80898290504</v>
      </c>
      <c r="H5" s="7">
        <f>FCFF_Projections!H21</f>
        <v>13514.116042629521</v>
      </c>
      <c r="I5" s="7">
        <f>FCFF_Projections!I21</f>
        <v>15637.64116868026</v>
      </c>
      <c r="J5" s="7">
        <f>FCFF_Projections!J21</f>
        <v>17026.97224074867</v>
      </c>
      <c r="K5" s="7">
        <f>FCFF_Projections!K21</f>
        <v>20043.827082691321</v>
      </c>
      <c r="L5" s="7">
        <f>FCFF_Projections!L21</f>
        <v>23096.654030041624</v>
      </c>
      <c r="M5" s="7">
        <f>FCFF_Projections!M21</f>
        <v>18806.656277630413</v>
      </c>
    </row>
    <row r="8" spans="1:13" x14ac:dyDescent="0.35">
      <c r="A8" s="20" t="s">
        <v>209</v>
      </c>
      <c r="G8" s="7">
        <f>G5/(1+$B$13)^G2</f>
        <v>9737.4828550424827</v>
      </c>
      <c r="H8" s="7">
        <f t="shared" ref="H8:L8" si="0">H5/(1+$B$13)^H2</f>
        <v>9945.5184042510009</v>
      </c>
      <c r="I8" s="7">
        <f t="shared" si="0"/>
        <v>9872.5857760754425</v>
      </c>
      <c r="J8" s="7">
        <f t="shared" si="0"/>
        <v>9221.8274359630686</v>
      </c>
      <c r="K8" s="7">
        <f t="shared" si="0"/>
        <v>9312.7962521088393</v>
      </c>
      <c r="L8" s="7">
        <f t="shared" si="0"/>
        <v>9205.9458031137783</v>
      </c>
      <c r="M8" s="7">
        <f>M5/(1+$B$13)^M2</f>
        <v>6430.5900291408734</v>
      </c>
    </row>
    <row r="11" spans="1:13" x14ac:dyDescent="0.35">
      <c r="A11" s="19" t="s">
        <v>210</v>
      </c>
      <c r="B11" s="7">
        <f>SUM(G8:M8)</f>
        <v>63726.746555695485</v>
      </c>
      <c r="G11" s="51" t="s">
        <v>222</v>
      </c>
      <c r="H11" s="52"/>
      <c r="I11" s="52"/>
      <c r="J11" s="52"/>
      <c r="K11" s="52"/>
      <c r="L11" s="52"/>
      <c r="M11" s="53"/>
    </row>
    <row r="12" spans="1:13" x14ac:dyDescent="0.35">
      <c r="A12" s="19" t="s">
        <v>211</v>
      </c>
      <c r="B12" s="8">
        <v>0.05</v>
      </c>
      <c r="G12" s="34"/>
      <c r="M12" s="35"/>
    </row>
    <row r="13" spans="1:13" x14ac:dyDescent="0.35">
      <c r="A13" s="19" t="s">
        <v>189</v>
      </c>
      <c r="B13" s="6">
        <f>WACC!B17</f>
        <v>0.16568205067771785</v>
      </c>
      <c r="G13" s="36"/>
      <c r="H13" s="19"/>
      <c r="I13" s="54" t="s">
        <v>211</v>
      </c>
      <c r="J13" s="55"/>
      <c r="K13" s="55"/>
      <c r="L13" s="55"/>
      <c r="M13" s="56"/>
    </row>
    <row r="14" spans="1:13" x14ac:dyDescent="0.35">
      <c r="A14" s="19" t="s">
        <v>212</v>
      </c>
      <c r="B14">
        <f>(M8*(1+B12))/(B13-B12)</f>
        <v>58367.910069375008</v>
      </c>
      <c r="G14" s="36"/>
      <c r="H14" s="37">
        <f>B22</f>
        <v>1150.9824561403509</v>
      </c>
      <c r="I14" s="38">
        <v>0.04</v>
      </c>
      <c r="J14" s="38">
        <f>K14-0.5%</f>
        <v>4.5000000000000005E-2</v>
      </c>
      <c r="K14" s="38">
        <f>B12</f>
        <v>0.05</v>
      </c>
      <c r="L14" s="38">
        <f>K14+0.5%</f>
        <v>5.5E-2</v>
      </c>
      <c r="M14" s="39">
        <f>L14+0.5%</f>
        <v>0.06</v>
      </c>
    </row>
    <row r="15" spans="1:13" x14ac:dyDescent="0.35">
      <c r="A15" s="19" t="s">
        <v>213</v>
      </c>
      <c r="B15">
        <f>B14/(1+B13)^7</f>
        <v>19957.83274671546</v>
      </c>
      <c r="G15" s="57" t="s">
        <v>189</v>
      </c>
      <c r="H15" s="38">
        <f>H16-0.5%</f>
        <v>0.15568205067771784</v>
      </c>
      <c r="I15" s="37">
        <f t="dataTable" ref="I15:M19" dt2D="1" dtr="1" r1="B12" r2="B13" ca="1"/>
        <v>1150.9824561403509</v>
      </c>
      <c r="J15" s="37">
        <v>1150.9824561403509</v>
      </c>
      <c r="K15" s="37">
        <v>1150.9824561403509</v>
      </c>
      <c r="L15" s="37">
        <v>1150.9824561403509</v>
      </c>
      <c r="M15" s="40">
        <v>1150.9824561403509</v>
      </c>
    </row>
    <row r="16" spans="1:13" x14ac:dyDescent="0.35">
      <c r="A16" s="20" t="s">
        <v>214</v>
      </c>
      <c r="B16" s="7">
        <f>B11+B14</f>
        <v>122094.65662507049</v>
      </c>
      <c r="G16" s="58"/>
      <c r="H16" s="38">
        <f>H17-0.5%</f>
        <v>0.16068205067771785</v>
      </c>
      <c r="I16" s="37">
        <v>1150.9824561403509</v>
      </c>
      <c r="J16" s="41">
        <v>1150.9824561403509</v>
      </c>
      <c r="K16" s="41">
        <v>1150.9824561403509</v>
      </c>
      <c r="L16" s="41">
        <v>1150.9824561403509</v>
      </c>
      <c r="M16" s="40">
        <v>1150.9824561403509</v>
      </c>
    </row>
    <row r="17" spans="1:13" x14ac:dyDescent="0.35">
      <c r="A17" s="21" t="s">
        <v>215</v>
      </c>
      <c r="B17">
        <f>'Balance_Sheet (5 years)'!F43</f>
        <v>1328.55</v>
      </c>
      <c r="G17" s="58"/>
      <c r="H17" s="38">
        <f>B13</f>
        <v>0.16568205067771785</v>
      </c>
      <c r="I17" s="37">
        <v>1150.9824561403509</v>
      </c>
      <c r="J17" s="41">
        <v>1150.9824561403509</v>
      </c>
      <c r="K17" s="42">
        <v>1150.9824561403509</v>
      </c>
      <c r="L17" s="41">
        <v>1150.9824561403509</v>
      </c>
      <c r="M17" s="40">
        <v>1150.9824561403509</v>
      </c>
    </row>
    <row r="18" spans="1:13" x14ac:dyDescent="0.35">
      <c r="A18" s="21" t="s">
        <v>216</v>
      </c>
      <c r="B18">
        <f>'Balance_Sheet (5 years)'!F53</f>
        <v>927.64</v>
      </c>
      <c r="G18" s="58"/>
      <c r="H18" s="38">
        <f>H17+0.5%</f>
        <v>0.17068205067771786</v>
      </c>
      <c r="I18" s="37">
        <v>1150.9824561403509</v>
      </c>
      <c r="J18" s="41">
        <v>1150.9824561403509</v>
      </c>
      <c r="K18" s="41">
        <v>1150.9824561403509</v>
      </c>
      <c r="L18" s="41">
        <v>1150.9824561403509</v>
      </c>
      <c r="M18" s="40">
        <v>1150.9824561403509</v>
      </c>
    </row>
    <row r="19" spans="1:13" x14ac:dyDescent="0.35">
      <c r="A19" s="21" t="s">
        <v>217</v>
      </c>
      <c r="B19">
        <v>0</v>
      </c>
      <c r="G19" s="59"/>
      <c r="H19" s="43">
        <f>H18+0.5%</f>
        <v>0.17568205067771786</v>
      </c>
      <c r="I19" s="44">
        <v>1150.9824561403509</v>
      </c>
      <c r="J19" s="44">
        <v>1150.9824561403509</v>
      </c>
      <c r="K19" s="44">
        <v>1150.9824561403509</v>
      </c>
      <c r="L19" s="44">
        <v>1150.9824561403509</v>
      </c>
      <c r="M19" s="45">
        <v>1150.9824561403509</v>
      </c>
    </row>
    <row r="20" spans="1:13" x14ac:dyDescent="0.35">
      <c r="A20" s="19" t="s">
        <v>218</v>
      </c>
      <c r="B20">
        <f>'Balance_Sheet (5 years)'!F7</f>
        <v>32146.94</v>
      </c>
    </row>
    <row r="21" spans="1:13" x14ac:dyDescent="0.35">
      <c r="A21" s="19" t="s">
        <v>219</v>
      </c>
      <c r="B21">
        <v>27.93</v>
      </c>
    </row>
    <row r="22" spans="1:13" x14ac:dyDescent="0.35">
      <c r="A22" s="32" t="s">
        <v>220</v>
      </c>
      <c r="B22">
        <f>B20/B21</f>
        <v>1150.9824561403509</v>
      </c>
    </row>
  </sheetData>
  <mergeCells count="4">
    <mergeCell ref="G1:M1"/>
    <mergeCell ref="G11:M11"/>
    <mergeCell ref="I13:M13"/>
    <mergeCell ref="G15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928F-6322-4B4B-B6DD-E10524ECBA0E}">
  <dimension ref="A1:M29"/>
  <sheetViews>
    <sheetView topLeftCell="A2" zoomScale="89" zoomScaleNormal="89" workbookViewId="0">
      <selection activeCell="B22" sqref="B22"/>
    </sheetView>
  </sheetViews>
  <sheetFormatPr defaultRowHeight="14.5" x14ac:dyDescent="0.35"/>
  <cols>
    <col min="1" max="1" width="35.90625" bestFit="1" customWidth="1"/>
    <col min="2" max="7" width="8.81640625" bestFit="1" customWidth="1"/>
    <col min="8" max="9" width="9.7265625" bestFit="1" customWidth="1"/>
    <col min="10" max="10" width="8.81640625" bestFit="1" customWidth="1"/>
    <col min="11" max="13" width="9.7265625" bestFit="1" customWidth="1"/>
  </cols>
  <sheetData>
    <row r="1" spans="1:13" x14ac:dyDescent="0.35">
      <c r="G1" s="50" t="s">
        <v>136</v>
      </c>
      <c r="H1" s="50"/>
      <c r="I1" s="50"/>
      <c r="J1" s="50"/>
      <c r="K1" s="50"/>
      <c r="L1" s="50"/>
      <c r="M1" s="50"/>
    </row>
    <row r="2" spans="1:13" x14ac:dyDescent="0.35">
      <c r="A2" s="17" t="s">
        <v>1</v>
      </c>
      <c r="B2" s="3" t="s">
        <v>6</v>
      </c>
      <c r="C2" s="3" t="s">
        <v>5</v>
      </c>
      <c r="D2" s="3" t="s">
        <v>4</v>
      </c>
      <c r="E2" s="4">
        <v>45352</v>
      </c>
      <c r="F2" s="3" t="s">
        <v>2</v>
      </c>
      <c r="G2" s="4">
        <v>46082</v>
      </c>
      <c r="H2" s="4">
        <v>46447</v>
      </c>
      <c r="I2" s="4">
        <v>46813</v>
      </c>
      <c r="J2" s="4">
        <v>47178</v>
      </c>
      <c r="K2" s="4">
        <v>47543</v>
      </c>
      <c r="L2" s="4">
        <v>47908</v>
      </c>
      <c r="M2" s="4">
        <v>48274</v>
      </c>
    </row>
    <row r="3" spans="1:13" x14ac:dyDescent="0.35">
      <c r="A3" s="18" t="s">
        <v>137</v>
      </c>
      <c r="B3" s="7">
        <f>'Income_Statement (5 years)'!B9</f>
        <v>27741.08</v>
      </c>
      <c r="C3" s="7">
        <f>'Income_Statement (5 years)'!C9</f>
        <v>33144.71</v>
      </c>
      <c r="D3" s="7">
        <f>'Income_Statement (5 years)'!D9</f>
        <v>36427.599999999999</v>
      </c>
      <c r="E3" s="7">
        <f>'Income_Statement (5 years)'!E9</f>
        <v>44685.23</v>
      </c>
      <c r="F3" s="7">
        <f>'Income_Statement (5 years)'!F9</f>
        <v>50010.31</v>
      </c>
      <c r="G3" s="7">
        <f>F3*(1+G25)</f>
        <v>58008.083345865787</v>
      </c>
      <c r="H3" s="7">
        <f t="shared" ref="H3:M3" si="0">G3*(1+H25)</f>
        <v>66779.25992134129</v>
      </c>
      <c r="I3" s="7">
        <f t="shared" si="0"/>
        <v>77747.475677260431</v>
      </c>
      <c r="J3" s="7">
        <f t="shared" si="0"/>
        <v>89303.532454550645</v>
      </c>
      <c r="K3" s="7">
        <f t="shared" si="0"/>
        <v>103235.11175020157</v>
      </c>
      <c r="L3" s="7">
        <f t="shared" si="0"/>
        <v>119238.8842836807</v>
      </c>
      <c r="M3" s="7">
        <f t="shared" si="0"/>
        <v>137837.37048861175</v>
      </c>
    </row>
    <row r="4" spans="1:13" x14ac:dyDescent="0.35">
      <c r="A4" s="19" t="s">
        <v>138</v>
      </c>
      <c r="B4" s="7">
        <f>'Income_Statement (5 years)'!B12</f>
        <v>19829.13</v>
      </c>
      <c r="C4" s="7">
        <f>'Income_Statement (5 years)'!C12</f>
        <v>24141.86</v>
      </c>
      <c r="D4" s="7">
        <f>'Income_Statement (5 years)'!D12</f>
        <v>26152.86</v>
      </c>
      <c r="E4" s="7">
        <f>'Income_Statement (5 years)'!E12</f>
        <v>31813.89</v>
      </c>
      <c r="F4" s="7">
        <f>'Income_Statement (5 years)'!F12</f>
        <v>35302.26</v>
      </c>
      <c r="G4" s="7">
        <f>G27*G3</f>
        <v>41521.795022887622</v>
      </c>
      <c r="H4" s="7">
        <f>H27*H3</f>
        <v>47813.503300887685</v>
      </c>
      <c r="I4" s="7">
        <f t="shared" ref="I4:M4" si="1">I27*I3</f>
        <v>55474.104955831688</v>
      </c>
      <c r="J4" s="7">
        <f t="shared" si="1"/>
        <v>63640.520486975191</v>
      </c>
      <c r="K4" s="7">
        <f t="shared" si="1"/>
        <v>73582.56650760262</v>
      </c>
      <c r="L4" s="7">
        <f t="shared" si="1"/>
        <v>85153.293075893787</v>
      </c>
      <c r="M4" s="7">
        <f t="shared" si="1"/>
        <v>98389.653877690405</v>
      </c>
    </row>
    <row r="5" spans="1:13" x14ac:dyDescent="0.35">
      <c r="A5" s="20" t="s">
        <v>139</v>
      </c>
      <c r="B5" s="7">
        <f>B3-B4</f>
        <v>7911.9500000000007</v>
      </c>
      <c r="C5" s="7">
        <f t="shared" ref="C5:M5" si="2">C3-C4</f>
        <v>9002.8499999999985</v>
      </c>
      <c r="D5" s="7">
        <f t="shared" si="2"/>
        <v>10274.739999999998</v>
      </c>
      <c r="E5" s="7">
        <f t="shared" si="2"/>
        <v>12871.340000000004</v>
      </c>
      <c r="F5" s="7">
        <f t="shared" si="2"/>
        <v>14708.049999999996</v>
      </c>
      <c r="G5" s="7">
        <f t="shared" si="2"/>
        <v>16486.288322978166</v>
      </c>
      <c r="H5" s="7">
        <f t="shared" si="2"/>
        <v>18965.756620453605</v>
      </c>
      <c r="I5" s="7">
        <f t="shared" si="2"/>
        <v>22273.370721428742</v>
      </c>
      <c r="J5" s="7">
        <f t="shared" si="2"/>
        <v>25663.011967575454</v>
      </c>
      <c r="K5" s="7">
        <f t="shared" si="2"/>
        <v>29652.54524259895</v>
      </c>
      <c r="L5" s="7">
        <f t="shared" si="2"/>
        <v>34085.591207786914</v>
      </c>
      <c r="M5" s="7">
        <f t="shared" si="2"/>
        <v>39447.716610921343</v>
      </c>
    </row>
    <row r="6" spans="1:13" x14ac:dyDescent="0.35">
      <c r="A6" s="2" t="s">
        <v>140</v>
      </c>
    </row>
    <row r="7" spans="1:13" x14ac:dyDescent="0.35">
      <c r="A7" s="18" t="s">
        <v>141</v>
      </c>
      <c r="B7" s="7">
        <f>SUM('Income_Statement (5 years)'!B16,'Income_Statement (5 years)'!B17)</f>
        <v>557.67999999999995</v>
      </c>
      <c r="C7" s="7">
        <f>SUM('Income_Statement (5 years)'!C16,'Income_Statement (5 years)'!C17)</f>
        <v>542.48</v>
      </c>
      <c r="D7" s="7">
        <f>SUM('Income_Statement (5 years)'!D16,'Income_Statement (5 years)'!D17)</f>
        <v>674.3</v>
      </c>
      <c r="E7" s="7">
        <f>SUM('Income_Statement (5 years)'!E16,'Income_Statement (5 years)'!E17)</f>
        <v>761.73</v>
      </c>
      <c r="F7" s="7">
        <f>SUM('Income_Statement (5 years)'!F16,'Income_Statement (5 years)'!F17)</f>
        <v>857.24</v>
      </c>
      <c r="G7" s="7">
        <f>G28*G3</f>
        <v>1034.49970659772</v>
      </c>
      <c r="H7" s="7">
        <f t="shared" ref="H7:M7" si="3">H28*H3</f>
        <v>1160.6136514491307</v>
      </c>
      <c r="I7" s="7">
        <f t="shared" si="3"/>
        <v>1366.988704869545</v>
      </c>
      <c r="J7" s="7">
        <f t="shared" si="3"/>
        <v>1553.5925709385112</v>
      </c>
      <c r="K7" s="7">
        <f t="shared" si="3"/>
        <v>1803.187421569037</v>
      </c>
      <c r="L7" s="7">
        <f t="shared" si="3"/>
        <v>2090.4855339293417</v>
      </c>
      <c r="M7" s="7">
        <f t="shared" si="3"/>
        <v>2408.2325370205217</v>
      </c>
    </row>
    <row r="8" spans="1:13" x14ac:dyDescent="0.35">
      <c r="A8" s="19" t="s">
        <v>142</v>
      </c>
      <c r="B8" s="7">
        <f>B7</f>
        <v>557.67999999999995</v>
      </c>
      <c r="C8" s="7">
        <f t="shared" ref="C8:M8" si="4">C7</f>
        <v>542.48</v>
      </c>
      <c r="D8" s="7">
        <f t="shared" si="4"/>
        <v>674.3</v>
      </c>
      <c r="E8" s="7">
        <f t="shared" si="4"/>
        <v>761.73</v>
      </c>
      <c r="F8" s="7">
        <f t="shared" si="4"/>
        <v>857.24</v>
      </c>
      <c r="G8" s="7">
        <f t="shared" si="4"/>
        <v>1034.49970659772</v>
      </c>
      <c r="H8" s="7">
        <f t="shared" si="4"/>
        <v>1160.6136514491307</v>
      </c>
      <c r="I8" s="7">
        <f t="shared" si="4"/>
        <v>1366.988704869545</v>
      </c>
      <c r="J8" s="7">
        <f t="shared" si="4"/>
        <v>1553.5925709385112</v>
      </c>
      <c r="K8" s="7">
        <f t="shared" si="4"/>
        <v>1803.187421569037</v>
      </c>
      <c r="L8" s="7">
        <f t="shared" si="4"/>
        <v>2090.4855339293417</v>
      </c>
      <c r="M8" s="7">
        <f t="shared" si="4"/>
        <v>2408.2325370205217</v>
      </c>
    </row>
    <row r="9" spans="1:13" x14ac:dyDescent="0.35">
      <c r="A9" s="20" t="s">
        <v>143</v>
      </c>
      <c r="B9" s="7">
        <f>B5-B8</f>
        <v>7354.27</v>
      </c>
      <c r="C9" s="7">
        <f t="shared" ref="C9:M9" si="5">C5-C8</f>
        <v>8460.369999999999</v>
      </c>
      <c r="D9" s="7">
        <f t="shared" si="5"/>
        <v>9600.4399999999987</v>
      </c>
      <c r="E9" s="7">
        <f t="shared" si="5"/>
        <v>12109.610000000004</v>
      </c>
      <c r="F9" s="7">
        <f t="shared" si="5"/>
        <v>13850.809999999996</v>
      </c>
      <c r="G9" s="7">
        <f t="shared" si="5"/>
        <v>15451.788616380445</v>
      </c>
      <c r="H9" s="7">
        <f t="shared" si="5"/>
        <v>17805.142969004475</v>
      </c>
      <c r="I9" s="7">
        <f t="shared" si="5"/>
        <v>20906.382016559197</v>
      </c>
      <c r="J9" s="7">
        <f t="shared" si="5"/>
        <v>24109.419396636942</v>
      </c>
      <c r="K9" s="7">
        <f t="shared" si="5"/>
        <v>27849.357821029913</v>
      </c>
      <c r="L9" s="7">
        <f t="shared" si="5"/>
        <v>31995.105673857572</v>
      </c>
      <c r="M9" s="7">
        <f t="shared" si="5"/>
        <v>37039.484073900821</v>
      </c>
    </row>
    <row r="10" spans="1:13" x14ac:dyDescent="0.35">
      <c r="A10" s="19" t="s">
        <v>144</v>
      </c>
      <c r="B10">
        <f>'Income_Statement (5 years)'!B26</f>
        <v>259.27999999999997</v>
      </c>
      <c r="C10">
        <f>'Income_Statement (5 years)'!C26</f>
        <v>269.17</v>
      </c>
      <c r="D10">
        <f>'Income_Statement (5 years)'!D26</f>
        <v>282.44</v>
      </c>
      <c r="E10">
        <f>'Income_Statement (5 years)'!E26</f>
        <v>349.84</v>
      </c>
      <c r="F10">
        <f>'Income_Statement (5 years)'!F26</f>
        <v>400.09</v>
      </c>
      <c r="G10" s="7">
        <f>Fixed_Assets!G4</f>
        <v>559.30328766811238</v>
      </c>
      <c r="H10" s="7">
        <f>Fixed_Assets!H4</f>
        <v>663.9128906683278</v>
      </c>
      <c r="I10" s="7">
        <f>Fixed_Assets!I4</f>
        <v>752.14762747306986</v>
      </c>
      <c r="J10" s="7">
        <f>Fixed_Assets!J4</f>
        <v>919.32147848059026</v>
      </c>
      <c r="K10" s="7">
        <f>Fixed_Assets!K4</f>
        <v>1137.545290312356</v>
      </c>
      <c r="L10" s="7">
        <f>Fixed_Assets!L4</f>
        <v>1397.4191811613675</v>
      </c>
      <c r="M10" s="7">
        <f>Fixed_Assets!M4</f>
        <v>1663.4739670394049</v>
      </c>
    </row>
    <row r="11" spans="1:13" x14ac:dyDescent="0.35">
      <c r="A11" s="20" t="s">
        <v>145</v>
      </c>
      <c r="B11" s="7">
        <f>B9-B10</f>
        <v>7094.9900000000007</v>
      </c>
      <c r="C11" s="7">
        <f t="shared" ref="C11:M11" si="6">C9-C10</f>
        <v>8191.1999999999989</v>
      </c>
      <c r="D11" s="7">
        <f t="shared" si="6"/>
        <v>9317.9999999999982</v>
      </c>
      <c r="E11" s="7">
        <f t="shared" si="6"/>
        <v>11759.770000000004</v>
      </c>
      <c r="F11" s="7">
        <f t="shared" si="6"/>
        <v>13450.719999999996</v>
      </c>
      <c r="G11" s="7">
        <f t="shared" si="6"/>
        <v>14892.485328712333</v>
      </c>
      <c r="H11" s="7">
        <f t="shared" si="6"/>
        <v>17141.230078336146</v>
      </c>
      <c r="I11" s="7">
        <f t="shared" si="6"/>
        <v>20154.234389086127</v>
      </c>
      <c r="J11" s="7">
        <f t="shared" si="6"/>
        <v>23190.097918156353</v>
      </c>
      <c r="K11" s="7">
        <f t="shared" si="6"/>
        <v>26711.812530717558</v>
      </c>
      <c r="L11" s="7">
        <f t="shared" si="6"/>
        <v>30597.686492696204</v>
      </c>
      <c r="M11" s="7">
        <f t="shared" si="6"/>
        <v>35376.010106861417</v>
      </c>
    </row>
    <row r="12" spans="1:13" x14ac:dyDescent="0.35">
      <c r="A12" s="19" t="s">
        <v>146</v>
      </c>
      <c r="B12">
        <f>'Income_Statement (5 years)'!B31</f>
        <v>1384.41</v>
      </c>
      <c r="C12">
        <f>'Income_Statement (5 years)'!C31</f>
        <v>1486.46</v>
      </c>
      <c r="D12">
        <f>'Income_Statement (5 years)'!D31</f>
        <v>1781.04</v>
      </c>
      <c r="E12">
        <f>'Income_Statement (5 years)'!E31</f>
        <v>2343.2199999999998</v>
      </c>
      <c r="F12">
        <f>'Income_Statement (5 years)'!F31</f>
        <v>2900.47</v>
      </c>
      <c r="G12">
        <f>G29*G11</f>
        <v>2926.7581319983065</v>
      </c>
      <c r="H12">
        <f t="shared" ref="H12:M12" si="7">H29*H11</f>
        <v>3373.4969484731382</v>
      </c>
      <c r="I12">
        <f t="shared" si="7"/>
        <v>4028.2899066898603</v>
      </c>
      <c r="J12">
        <f t="shared" si="7"/>
        <v>4675.5831334917912</v>
      </c>
      <c r="K12">
        <f t="shared" si="7"/>
        <v>5398.2519569329434</v>
      </c>
      <c r="L12">
        <f t="shared" si="7"/>
        <v>6100.6713117826093</v>
      </c>
      <c r="M12">
        <f t="shared" si="7"/>
        <v>7073.6077734073506</v>
      </c>
    </row>
    <row r="13" spans="1:13" x14ac:dyDescent="0.35">
      <c r="A13" s="20" t="s">
        <v>147</v>
      </c>
      <c r="B13" s="7">
        <f>B11-B12</f>
        <v>5710.5800000000008</v>
      </c>
      <c r="C13" s="7">
        <f t="shared" ref="C13:M13" si="8">C11-C12</f>
        <v>6704.7399999999989</v>
      </c>
      <c r="D13" s="7">
        <f t="shared" si="8"/>
        <v>7536.9599999999982</v>
      </c>
      <c r="E13" s="7">
        <f t="shared" si="8"/>
        <v>9416.5500000000047</v>
      </c>
      <c r="F13" s="7">
        <f t="shared" si="8"/>
        <v>10550.249999999996</v>
      </c>
      <c r="G13" s="7">
        <f t="shared" si="8"/>
        <v>11965.727196714026</v>
      </c>
      <c r="H13" s="7">
        <f>H11-H12</f>
        <v>13767.733129863009</v>
      </c>
      <c r="I13" s="7">
        <f t="shared" si="8"/>
        <v>16125.944482396266</v>
      </c>
      <c r="J13" s="7">
        <f t="shared" si="8"/>
        <v>18514.514784664563</v>
      </c>
      <c r="K13" s="7">
        <f t="shared" si="8"/>
        <v>21313.560573784613</v>
      </c>
      <c r="L13" s="7">
        <f t="shared" si="8"/>
        <v>24497.015180913593</v>
      </c>
      <c r="M13" s="7">
        <f t="shared" si="8"/>
        <v>28302.402333454065</v>
      </c>
    </row>
    <row r="14" spans="1:13" x14ac:dyDescent="0.35">
      <c r="A14" s="18" t="s">
        <v>148</v>
      </c>
      <c r="B14" s="7">
        <f>B10</f>
        <v>259.27999999999997</v>
      </c>
      <c r="C14" s="7">
        <f t="shared" ref="C14:M14" si="9">C10</f>
        <v>269.17</v>
      </c>
      <c r="D14" s="7">
        <f t="shared" si="9"/>
        <v>282.44</v>
      </c>
      <c r="E14" s="7">
        <f t="shared" si="9"/>
        <v>349.84</v>
      </c>
      <c r="F14" s="7">
        <f t="shared" si="9"/>
        <v>400.09</v>
      </c>
      <c r="G14" s="7">
        <f t="shared" si="9"/>
        <v>559.30328766811238</v>
      </c>
      <c r="H14" s="7">
        <f t="shared" si="9"/>
        <v>663.9128906683278</v>
      </c>
      <c r="I14" s="7">
        <f t="shared" si="9"/>
        <v>752.14762747306986</v>
      </c>
      <c r="J14" s="7">
        <f t="shared" si="9"/>
        <v>919.32147848059026</v>
      </c>
      <c r="K14" s="7">
        <f t="shared" si="9"/>
        <v>1137.545290312356</v>
      </c>
      <c r="L14" s="7">
        <f t="shared" si="9"/>
        <v>1397.4191811613675</v>
      </c>
      <c r="M14" s="7">
        <f t="shared" si="9"/>
        <v>1663.4739670394049</v>
      </c>
    </row>
    <row r="15" spans="1:13" x14ac:dyDescent="0.35">
      <c r="A15" s="18" t="s">
        <v>149</v>
      </c>
      <c r="B15" s="7">
        <f>Fixed_Assets!B5</f>
        <v>429.53999999999996</v>
      </c>
      <c r="C15" s="7">
        <f>Fixed_Assets!C5</f>
        <v>1152.2699999999998</v>
      </c>
      <c r="D15" s="7">
        <f>Fixed_Assets!D5</f>
        <v>766.21000000000049</v>
      </c>
      <c r="E15" s="7">
        <f>Fixed_Assets!E5</f>
        <v>703.05999999999972</v>
      </c>
      <c r="F15" s="7">
        <f>Fixed_Assets!F5</f>
        <v>1246.4177630610857</v>
      </c>
      <c r="G15" s="7">
        <f>Fixed_Assets!G5</f>
        <v>1644.8235168376461</v>
      </c>
      <c r="H15" s="7">
        <f>Fixed_Assets!H5</f>
        <v>1691.0593311701896</v>
      </c>
      <c r="I15" s="7">
        <f>Fixed_Assets!I5</f>
        <v>2049.0273355646068</v>
      </c>
      <c r="J15" s="7">
        <f>Fixed_Assets!J5</f>
        <v>2642.3538851017506</v>
      </c>
      <c r="K15" s="7">
        <f>Fixed_Assets!K5</f>
        <v>3192.9841361769877</v>
      </c>
      <c r="L15" s="7">
        <f>Fixed_Assets!L5</f>
        <v>3765.6323474256556</v>
      </c>
      <c r="M15" s="7">
        <f>Fixed_Assets!M5</f>
        <v>4591.5476081031102</v>
      </c>
    </row>
    <row r="16" spans="1:13" x14ac:dyDescent="0.35">
      <c r="A16" s="18" t="s">
        <v>150</v>
      </c>
      <c r="B16" s="7">
        <f>C17-B17</f>
        <v>141.92000000000144</v>
      </c>
      <c r="C16" s="7">
        <f t="shared" ref="C16:M16" si="10">D17-C17</f>
        <v>-376.79000000000087</v>
      </c>
      <c r="D16" s="7">
        <f t="shared" si="10"/>
        <v>-2069.61</v>
      </c>
      <c r="E16" s="7">
        <f t="shared" si="10"/>
        <v>1079.2600000000002</v>
      </c>
      <c r="F16" s="7">
        <f t="shared" si="10"/>
        <v>-278.06741888656234</v>
      </c>
      <c r="G16" s="7">
        <f t="shared" si="10"/>
        <v>-470.60201536054865</v>
      </c>
      <c r="H16" s="7">
        <f t="shared" si="10"/>
        <v>-773.52935326837542</v>
      </c>
      <c r="I16" s="7">
        <f t="shared" si="10"/>
        <v>-808.57639437553007</v>
      </c>
      <c r="J16" s="7">
        <f t="shared" si="10"/>
        <v>-235.48986270526984</v>
      </c>
      <c r="K16" s="7">
        <f t="shared" si="10"/>
        <v>-785.70535477134217</v>
      </c>
      <c r="L16" s="7">
        <f t="shared" si="10"/>
        <v>-967.85201539231821</v>
      </c>
      <c r="M16" s="7">
        <f t="shared" si="10"/>
        <v>6567.6724147599471</v>
      </c>
    </row>
    <row r="17" spans="1:13" x14ac:dyDescent="0.35">
      <c r="A17" s="21" t="s">
        <v>151</v>
      </c>
      <c r="B17" s="7">
        <f>B18-B19</f>
        <v>-1022.630000000001</v>
      </c>
      <c r="C17" s="7">
        <f t="shared" ref="C17:M17" si="11">C18-C19</f>
        <v>-880.70999999999958</v>
      </c>
      <c r="D17" s="7">
        <f t="shared" si="11"/>
        <v>-1257.5000000000005</v>
      </c>
      <c r="E17" s="7">
        <f t="shared" si="11"/>
        <v>-3327.1100000000006</v>
      </c>
      <c r="F17" s="7">
        <f t="shared" si="11"/>
        <v>-2247.8500000000004</v>
      </c>
      <c r="G17" s="7">
        <f t="shared" si="11"/>
        <v>-2525.9174188865627</v>
      </c>
      <c r="H17" s="7">
        <f t="shared" si="11"/>
        <v>-2996.5194342471113</v>
      </c>
      <c r="I17" s="7">
        <f t="shared" si="11"/>
        <v>-3770.0487875154868</v>
      </c>
      <c r="J17" s="7">
        <f t="shared" si="11"/>
        <v>-4578.6251818910168</v>
      </c>
      <c r="K17" s="7">
        <f t="shared" si="11"/>
        <v>-4814.1150445962867</v>
      </c>
      <c r="L17" s="7">
        <f t="shared" si="11"/>
        <v>-5599.8203993676289</v>
      </c>
      <c r="M17" s="7">
        <f t="shared" si="11"/>
        <v>-6567.6724147599471</v>
      </c>
    </row>
    <row r="18" spans="1:13" x14ac:dyDescent="0.35">
      <c r="A18" s="21" t="s">
        <v>152</v>
      </c>
      <c r="B18">
        <f>Net_Working_Capital!B6</f>
        <v>4444.0599999999995</v>
      </c>
      <c r="C18">
        <f>Net_Working_Capital!C6</f>
        <v>3630.8300000000004</v>
      </c>
      <c r="D18">
        <f>Net_Working_Capital!D6</f>
        <v>3750.85</v>
      </c>
      <c r="E18">
        <f>Net_Working_Capital!E6</f>
        <v>4349.8999999999996</v>
      </c>
      <c r="F18">
        <f>Net_Working_Capital!F6</f>
        <v>5475.24</v>
      </c>
      <c r="G18">
        <f>Net_Working_Capital!G6</f>
        <v>6724.4111842572938</v>
      </c>
      <c r="H18">
        <f>Net_Working_Capital!H6</f>
        <v>7149.5590708991767</v>
      </c>
      <c r="I18">
        <f>Net_Working_Capital!I6</f>
        <v>8284.5062292279799</v>
      </c>
      <c r="J18">
        <f>Net_Working_Capital!J6</f>
        <v>9579.8587820195062</v>
      </c>
      <c r="K18">
        <f>Net_Working_Capital!K6</f>
        <v>11279.34761527457</v>
      </c>
      <c r="L18">
        <f>Net_Working_Capital!L6</f>
        <v>13022.571522343129</v>
      </c>
      <c r="M18">
        <f>Net_Working_Capital!M6</f>
        <v>14868.994398701901</v>
      </c>
    </row>
    <row r="19" spans="1:13" x14ac:dyDescent="0.35">
      <c r="A19" s="21" t="s">
        <v>153</v>
      </c>
      <c r="B19">
        <f>Net_Working_Capital!B10</f>
        <v>5466.6900000000005</v>
      </c>
      <c r="C19">
        <f>Net_Working_Capital!C10</f>
        <v>4511.54</v>
      </c>
      <c r="D19">
        <f>Net_Working_Capital!D10</f>
        <v>5008.3500000000004</v>
      </c>
      <c r="E19">
        <f>Net_Working_Capital!E10</f>
        <v>7677.01</v>
      </c>
      <c r="F19">
        <f>Net_Working_Capital!F10</f>
        <v>7723.09</v>
      </c>
      <c r="G19">
        <f>Net_Working_Capital!G10</f>
        <v>9250.3286031438565</v>
      </c>
      <c r="H19">
        <f>Net_Working_Capital!H10</f>
        <v>10146.078505146288</v>
      </c>
      <c r="I19">
        <f>Net_Working_Capital!I10</f>
        <v>12054.555016743467</v>
      </c>
      <c r="J19">
        <f>Net_Working_Capital!J10</f>
        <v>14158.483963910523</v>
      </c>
      <c r="K19">
        <f>Net_Working_Capital!K10</f>
        <v>16093.462659870856</v>
      </c>
      <c r="L19">
        <f>Net_Working_Capital!L10</f>
        <v>18622.391921710758</v>
      </c>
      <c r="M19">
        <f>Net_Working_Capital!M10</f>
        <v>21436.666813461849</v>
      </c>
    </row>
    <row r="20" spans="1:13" x14ac:dyDescent="0.35">
      <c r="A20" s="21"/>
    </row>
    <row r="21" spans="1:13" x14ac:dyDescent="0.35">
      <c r="A21" s="20" t="s">
        <v>154</v>
      </c>
      <c r="B21" s="7">
        <f>B13+B14-B15-B16</f>
        <v>5398.4</v>
      </c>
      <c r="C21" s="7">
        <f t="shared" ref="C21:M21" si="12">C13+C14-C15-C16</f>
        <v>6198.43</v>
      </c>
      <c r="D21" s="7">
        <f t="shared" si="12"/>
        <v>9122.7999999999975</v>
      </c>
      <c r="E21" s="7">
        <f t="shared" si="12"/>
        <v>7984.0700000000052</v>
      </c>
      <c r="F21" s="7">
        <f t="shared" si="12"/>
        <v>9981.9896558254732</v>
      </c>
      <c r="G21" s="7">
        <f t="shared" si="12"/>
        <v>11350.80898290504</v>
      </c>
      <c r="H21" s="7">
        <f t="shared" si="12"/>
        <v>13514.116042629521</v>
      </c>
      <c r="I21" s="7">
        <f t="shared" si="12"/>
        <v>15637.64116868026</v>
      </c>
      <c r="J21" s="7">
        <f t="shared" si="12"/>
        <v>17026.97224074867</v>
      </c>
      <c r="K21" s="7">
        <f t="shared" si="12"/>
        <v>20043.827082691321</v>
      </c>
      <c r="L21" s="7">
        <f t="shared" si="12"/>
        <v>23096.654030041624</v>
      </c>
      <c r="M21" s="7">
        <f t="shared" si="12"/>
        <v>18806.656277630413</v>
      </c>
    </row>
    <row r="23" spans="1:13" x14ac:dyDescent="0.35">
      <c r="A23" s="27" t="s">
        <v>155</v>
      </c>
    </row>
    <row r="24" spans="1:13" x14ac:dyDescent="0.35">
      <c r="A24" s="19" t="str">
        <f t="shared" ref="A24" si="13">A2</f>
        <v>Particulars</v>
      </c>
    </row>
    <row r="25" spans="1:13" x14ac:dyDescent="0.35">
      <c r="A25" s="19" t="s">
        <v>156</v>
      </c>
      <c r="C25" s="5">
        <f>C3/B3-1</f>
        <v>0.19478801834679826</v>
      </c>
      <c r="D25" s="5">
        <f t="shared" ref="D25:F25" si="14">D3/C3-1</f>
        <v>9.9047178267663183E-2</v>
      </c>
      <c r="E25" s="5">
        <f t="shared" si="14"/>
        <v>0.22668608417793124</v>
      </c>
      <c r="F25" s="5">
        <f t="shared" si="14"/>
        <v>0.11916868280637694</v>
      </c>
      <c r="G25" s="6">
        <f>AVERAGE(C25:F25)</f>
        <v>0.1599224908996924</v>
      </c>
      <c r="H25" s="6">
        <f t="shared" ref="H25:M25" si="15">AVERAGE(D25:G25)</f>
        <v>0.15120610903791593</v>
      </c>
      <c r="I25" s="6">
        <f>AVERAGE(E25:H25)</f>
        <v>0.16424584173047913</v>
      </c>
      <c r="J25" s="6">
        <f t="shared" si="15"/>
        <v>0.14863578111861608</v>
      </c>
      <c r="K25" s="6">
        <f t="shared" si="15"/>
        <v>0.15600255569667587</v>
      </c>
      <c r="L25" s="6">
        <f t="shared" si="15"/>
        <v>0.15502257189592175</v>
      </c>
      <c r="M25" s="6">
        <f t="shared" si="15"/>
        <v>0.15597668761042321</v>
      </c>
    </row>
    <row r="26" spans="1:13" x14ac:dyDescent="0.35">
      <c r="A26" s="19"/>
    </row>
    <row r="27" spans="1:13" x14ac:dyDescent="0.35">
      <c r="A27" s="19" t="s">
        <v>157</v>
      </c>
      <c r="B27" s="5">
        <f>B4/B3</f>
        <v>0.71479300733785422</v>
      </c>
      <c r="C27" s="5">
        <f t="shared" ref="C27:E27" si="16">C4/C3</f>
        <v>0.72837746958715288</v>
      </c>
      <c r="D27" s="5">
        <f t="shared" si="16"/>
        <v>0.7179407921466141</v>
      </c>
      <c r="E27" s="5">
        <f t="shared" si="16"/>
        <v>0.71195538212514509</v>
      </c>
      <c r="F27" s="5">
        <f>F4/F3</f>
        <v>0.70589964349351175</v>
      </c>
      <c r="G27" s="5">
        <f>AVERAGE(B27:F27)</f>
        <v>0.71579325893805557</v>
      </c>
      <c r="H27" s="6">
        <f>AVERAGE(C27:G27)</f>
        <v>0.7159933092580959</v>
      </c>
      <c r="I27" s="6">
        <f>AVERAGE(D27:H27)</f>
        <v>0.7135164771922845</v>
      </c>
      <c r="J27" s="6">
        <f>AVERAGE(E27:I27)</f>
        <v>0.71263161420141852</v>
      </c>
      <c r="K27" s="6">
        <f t="shared" ref="K27:M27" si="17">AVERAGE(F27:J27)</f>
        <v>0.71276686061667338</v>
      </c>
      <c r="L27" s="6">
        <f t="shared" si="17"/>
        <v>0.71414030404130557</v>
      </c>
      <c r="M27" s="6">
        <f t="shared" si="17"/>
        <v>0.71380971306195551</v>
      </c>
    </row>
    <row r="28" spans="1:13" x14ac:dyDescent="0.35">
      <c r="A28" s="19" t="s">
        <v>158</v>
      </c>
      <c r="B28" s="5">
        <f>B7/B3</f>
        <v>2.0103038526257808E-2</v>
      </c>
      <c r="C28" s="5">
        <f t="shared" ref="C28:F28" si="18">C7/C3</f>
        <v>1.63670160336295E-2</v>
      </c>
      <c r="D28" s="5">
        <f t="shared" si="18"/>
        <v>1.8510689696823287E-2</v>
      </c>
      <c r="E28" s="5">
        <f t="shared" si="18"/>
        <v>1.7046572211891937E-2</v>
      </c>
      <c r="F28" s="5">
        <f t="shared" si="18"/>
        <v>1.7141265471059867E-2</v>
      </c>
      <c r="G28" s="6">
        <f>AVERAGE(B28:F28)</f>
        <v>1.7833716387932481E-2</v>
      </c>
      <c r="H28" s="6">
        <f t="shared" ref="H28:M28" si="19">AVERAGE(C28:G28)</f>
        <v>1.7379851960267416E-2</v>
      </c>
      <c r="I28" s="6">
        <f t="shared" si="19"/>
        <v>1.7582419145594996E-2</v>
      </c>
      <c r="J28" s="6">
        <f t="shared" si="19"/>
        <v>1.7396765035349336E-2</v>
      </c>
      <c r="K28" s="6">
        <f t="shared" si="19"/>
        <v>1.7466803600040819E-2</v>
      </c>
      <c r="L28" s="6">
        <f t="shared" si="19"/>
        <v>1.753191122583701E-2</v>
      </c>
      <c r="M28" s="6">
        <f t="shared" si="19"/>
        <v>1.7471550193417916E-2</v>
      </c>
    </row>
    <row r="29" spans="1:13" x14ac:dyDescent="0.35">
      <c r="A29" s="19" t="s">
        <v>159</v>
      </c>
      <c r="B29" s="5">
        <f>B12/B11</f>
        <v>0.19512501074702007</v>
      </c>
      <c r="C29" s="5">
        <f t="shared" ref="C29:F29" si="20">C12/C11</f>
        <v>0.18147035843344078</v>
      </c>
      <c r="D29" s="5">
        <f t="shared" si="20"/>
        <v>0.19113972955569869</v>
      </c>
      <c r="E29" s="5">
        <f t="shared" si="20"/>
        <v>0.19925729839954345</v>
      </c>
      <c r="F29" s="5">
        <f t="shared" si="20"/>
        <v>0.21563678375581388</v>
      </c>
      <c r="G29" s="6">
        <f>AVERAGE(B29:F29)</f>
        <v>0.19652583617830338</v>
      </c>
      <c r="H29" s="6">
        <f t="shared" ref="H29:M29" si="21">AVERAGE(C29:G29)</f>
        <v>0.19680600126456005</v>
      </c>
      <c r="I29" s="6">
        <f t="shared" si="21"/>
        <v>0.19987312983078387</v>
      </c>
      <c r="J29" s="6">
        <f t="shared" si="21"/>
        <v>0.20161980988580092</v>
      </c>
      <c r="K29" s="6">
        <f t="shared" si="21"/>
        <v>0.2020923121830524</v>
      </c>
      <c r="L29" s="6">
        <f t="shared" si="21"/>
        <v>0.19938341786850011</v>
      </c>
      <c r="M29" s="6">
        <f t="shared" si="21"/>
        <v>0.19995493420653948</v>
      </c>
    </row>
  </sheetData>
  <mergeCells count="1">
    <mergeCell ref="G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2516-3325-429E-B6E9-4E3F90410C31}">
  <dimension ref="A1:B17"/>
  <sheetViews>
    <sheetView workbookViewId="0">
      <selection activeCell="H20" sqref="H20"/>
    </sheetView>
  </sheetViews>
  <sheetFormatPr defaultRowHeight="14.5" x14ac:dyDescent="0.35"/>
  <cols>
    <col min="1" max="1" width="31.08984375" bestFit="1" customWidth="1"/>
    <col min="2" max="2" width="13.54296875" customWidth="1"/>
  </cols>
  <sheetData>
    <row r="1" spans="1:2" x14ac:dyDescent="0.35">
      <c r="A1" s="60" t="s">
        <v>190</v>
      </c>
      <c r="B1" s="60"/>
    </row>
    <row r="2" spans="1:2" x14ac:dyDescent="0.35">
      <c r="A2" s="19" t="s">
        <v>177</v>
      </c>
      <c r="B2">
        <f>'Balance_Sheet (5 years)'!F7</f>
        <v>32146.94</v>
      </c>
    </row>
    <row r="3" spans="1:2" x14ac:dyDescent="0.35">
      <c r="A3" s="19" t="s">
        <v>178</v>
      </c>
      <c r="B3">
        <f>'Balance_Sheet (5 years)'!F53</f>
        <v>927.64</v>
      </c>
    </row>
    <row r="4" spans="1:2" x14ac:dyDescent="0.35">
      <c r="A4" s="19"/>
    </row>
    <row r="5" spans="1:2" x14ac:dyDescent="0.35">
      <c r="A5" s="19" t="s">
        <v>179</v>
      </c>
      <c r="B5" s="5">
        <f>'Income_Statement (5 years)'!F24/WACC!B3</f>
        <v>7.3002457850028027E-2</v>
      </c>
    </row>
    <row r="6" spans="1:2" x14ac:dyDescent="0.35">
      <c r="A6" s="19" t="s">
        <v>180</v>
      </c>
      <c r="B6" s="5">
        <v>0.3</v>
      </c>
    </row>
    <row r="7" spans="1:2" x14ac:dyDescent="0.35">
      <c r="A7" s="19" t="s">
        <v>181</v>
      </c>
      <c r="B7" s="9">
        <f>B3/(B3+B2)</f>
        <v>2.8046916997887802E-2</v>
      </c>
    </row>
    <row r="8" spans="1:2" x14ac:dyDescent="0.35">
      <c r="A8" s="20" t="s">
        <v>182</v>
      </c>
      <c r="B8" s="5">
        <f>B5*(1-B6)</f>
        <v>5.1101720495019619E-2</v>
      </c>
    </row>
    <row r="9" spans="1:2" x14ac:dyDescent="0.35">
      <c r="A9" s="20"/>
    </row>
    <row r="10" spans="1:2" x14ac:dyDescent="0.35">
      <c r="A10" s="19" t="s">
        <v>183</v>
      </c>
      <c r="B10" s="5">
        <f>'Risk-free_rate'!L8</f>
        <v>6.9699999999999998E-2</v>
      </c>
    </row>
    <row r="11" spans="1:2" x14ac:dyDescent="0.35">
      <c r="A11" s="19" t="s">
        <v>184</v>
      </c>
      <c r="B11" s="15">
        <f>Beta_Calculation!I7</f>
        <v>0.19864598550767656</v>
      </c>
    </row>
    <row r="12" spans="1:2" x14ac:dyDescent="0.35">
      <c r="A12" s="19" t="s">
        <v>185</v>
      </c>
      <c r="B12" s="5">
        <f>B11-B10</f>
        <v>0.12894598550767655</v>
      </c>
    </row>
    <row r="13" spans="1:2" x14ac:dyDescent="0.35">
      <c r="A13" s="19" t="s">
        <v>186</v>
      </c>
      <c r="B13">
        <f>Beta_Calculation!H3</f>
        <v>0.77</v>
      </c>
    </row>
    <row r="14" spans="1:2" x14ac:dyDescent="0.35">
      <c r="A14" s="19" t="s">
        <v>187</v>
      </c>
      <c r="B14" s="10">
        <f>B2/(B2+B3)</f>
        <v>0.97195308300211214</v>
      </c>
    </row>
    <row r="15" spans="1:2" x14ac:dyDescent="0.35">
      <c r="A15" s="20" t="s">
        <v>188</v>
      </c>
      <c r="B15" s="5">
        <f>B10+B13*(B12)</f>
        <v>0.16898840884091093</v>
      </c>
    </row>
    <row r="16" spans="1:2" x14ac:dyDescent="0.35">
      <c r="A16" s="19"/>
    </row>
    <row r="17" spans="1:2" x14ac:dyDescent="0.35">
      <c r="A17" s="28" t="s">
        <v>189</v>
      </c>
      <c r="B17" s="5">
        <f>(B7*B8)+(B15*B14)</f>
        <v>0.16568205067771785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266F-D76E-4C44-9E67-4C57A3F44919}">
  <dimension ref="A1:M22"/>
  <sheetViews>
    <sheetView zoomScale="90" zoomScaleNormal="90" workbookViewId="0">
      <selection activeCell="G6" sqref="G6"/>
    </sheetView>
  </sheetViews>
  <sheetFormatPr defaultRowHeight="14.5" x14ac:dyDescent="0.35"/>
  <cols>
    <col min="1" max="1" width="39.6328125" bestFit="1" customWidth="1"/>
    <col min="2" max="2" width="9.36328125" bestFit="1" customWidth="1"/>
    <col min="7" max="10" width="9.36328125" bestFit="1" customWidth="1"/>
    <col min="11" max="13" width="9.81640625" bestFit="1" customWidth="1"/>
  </cols>
  <sheetData>
    <row r="1" spans="1:13" x14ac:dyDescent="0.35">
      <c r="A1" s="29" t="s">
        <v>168</v>
      </c>
      <c r="G1" s="61" t="s">
        <v>136</v>
      </c>
      <c r="H1" s="61"/>
      <c r="I1" s="61"/>
      <c r="J1" s="61"/>
      <c r="K1" s="61"/>
      <c r="L1" s="61"/>
      <c r="M1" s="61"/>
    </row>
    <row r="2" spans="1:13" x14ac:dyDescent="0.35">
      <c r="A2" s="24" t="s">
        <v>161</v>
      </c>
      <c r="B2" s="22" t="s">
        <v>6</v>
      </c>
      <c r="C2" s="3" t="s">
        <v>5</v>
      </c>
      <c r="D2" s="3" t="s">
        <v>4</v>
      </c>
      <c r="E2" s="4">
        <v>45352</v>
      </c>
      <c r="F2" s="3" t="s">
        <v>2</v>
      </c>
      <c r="G2" s="4">
        <v>46082</v>
      </c>
      <c r="H2" s="4">
        <v>46447</v>
      </c>
      <c r="I2" s="4">
        <v>46813</v>
      </c>
      <c r="J2" s="4">
        <v>47178</v>
      </c>
      <c r="K2" s="4">
        <v>47543</v>
      </c>
      <c r="L2" s="4">
        <v>47908</v>
      </c>
      <c r="M2" s="4">
        <v>48274</v>
      </c>
    </row>
    <row r="3" spans="1:13" x14ac:dyDescent="0.35">
      <c r="A3" s="18" t="s">
        <v>169</v>
      </c>
      <c r="B3">
        <f>'Balance_Sheet (5 years)'!B42</f>
        <v>2716.85</v>
      </c>
      <c r="C3">
        <f>'Balance_Sheet (5 years)'!C42</f>
        <v>1516.38</v>
      </c>
      <c r="D3">
        <f>'Balance_Sheet (5 years)'!D42</f>
        <v>1776.12</v>
      </c>
      <c r="E3">
        <f>'Balance_Sheet (5 years)'!E42</f>
        <v>2122.4</v>
      </c>
      <c r="F3">
        <f>'Balance_Sheet (5 years)'!F42</f>
        <v>2282.64</v>
      </c>
      <c r="G3" s="7">
        <f>G17*G14/365</f>
        <v>3313.2346400030492</v>
      </c>
      <c r="H3" s="7">
        <f t="shared" ref="H3:M3" si="0">H17*H14/365</f>
        <v>3269.0406277825941</v>
      </c>
      <c r="I3" s="7">
        <f t="shared" si="0"/>
        <v>3855.7664813298252</v>
      </c>
      <c r="J3" s="7">
        <f t="shared" si="0"/>
        <v>4443.8015822144407</v>
      </c>
      <c r="K3" s="7">
        <f t="shared" si="0"/>
        <v>5183.7902021065274</v>
      </c>
      <c r="L3" s="7">
        <f t="shared" si="0"/>
        <v>6096.3802897286487</v>
      </c>
      <c r="M3" s="7">
        <f t="shared" si="0"/>
        <v>6882.1629793298562</v>
      </c>
    </row>
    <row r="4" spans="1:13" x14ac:dyDescent="0.35">
      <c r="A4" s="18" t="s">
        <v>170</v>
      </c>
      <c r="B4" s="7">
        <f>'Balance_Sheet (5 years)'!B41</f>
        <v>1493.89</v>
      </c>
      <c r="C4" s="7">
        <f>'Balance_Sheet (5 years)'!C41</f>
        <v>1230.51</v>
      </c>
      <c r="D4" s="7">
        <f>'Balance_Sheet (5 years)'!D41</f>
        <v>1397.9</v>
      </c>
      <c r="E4" s="7">
        <f>'Balance_Sheet (5 years)'!E41</f>
        <v>1695.62</v>
      </c>
      <c r="F4" s="7">
        <f>'Balance_Sheet (5 years)'!F41</f>
        <v>1957.9</v>
      </c>
      <c r="G4" s="7">
        <f>G18*G15/365</f>
        <v>2395.9603850648523</v>
      </c>
      <c r="H4" s="7">
        <f t="shared" ref="H4:M4" si="1">H18*H15/365</f>
        <v>2590.3819385593624</v>
      </c>
      <c r="I4" s="7">
        <f t="shared" si="1"/>
        <v>3040.9877102571636</v>
      </c>
      <c r="J4" s="7">
        <f t="shared" si="1"/>
        <v>3506.0549993218733</v>
      </c>
      <c r="K4" s="7">
        <f t="shared" si="1"/>
        <v>4080.1710370641181</v>
      </c>
      <c r="L4" s="7">
        <f t="shared" si="1"/>
        <v>4721.5867221969247</v>
      </c>
      <c r="M4" s="7">
        <f t="shared" si="1"/>
        <v>5411.1320131104667</v>
      </c>
    </row>
    <row r="5" spans="1:13" x14ac:dyDescent="0.35">
      <c r="A5" s="18" t="s">
        <v>62</v>
      </c>
      <c r="B5" s="7">
        <f>'Balance_Sheet (5 years)'!B44</f>
        <v>233.32</v>
      </c>
      <c r="C5" s="7">
        <f>'Balance_Sheet (5 years)'!C44</f>
        <v>883.94</v>
      </c>
      <c r="D5" s="7">
        <f>'Balance_Sheet (5 years)'!D44</f>
        <v>576.83000000000004</v>
      </c>
      <c r="E5" s="7">
        <f>'Balance_Sheet (5 years)'!E44</f>
        <v>531.88</v>
      </c>
      <c r="F5" s="7">
        <f>'Balance_Sheet (5 years)'!F44</f>
        <v>1234.7</v>
      </c>
      <c r="G5" s="7">
        <f>G21*G14</f>
        <v>1015.2161591893922</v>
      </c>
      <c r="H5" s="7">
        <f>H21*H14</f>
        <v>1290.13650455722</v>
      </c>
      <c r="I5" s="7">
        <f t="shared" ref="I5:M5" si="2">I21*I14</f>
        <v>1387.7520376409914</v>
      </c>
      <c r="J5" s="7">
        <f t="shared" si="2"/>
        <v>1630.0022004831908</v>
      </c>
      <c r="K5" s="7">
        <f t="shared" si="2"/>
        <v>2015.3863761039242</v>
      </c>
      <c r="L5" s="7">
        <f t="shared" si="2"/>
        <v>2204.604510417556</v>
      </c>
      <c r="M5" s="7">
        <f t="shared" si="2"/>
        <v>2575.699406261579</v>
      </c>
    </row>
    <row r="6" spans="1:13" x14ac:dyDescent="0.35">
      <c r="A6" s="20" t="s">
        <v>152</v>
      </c>
      <c r="B6">
        <f>SUM(B3:B5)</f>
        <v>4444.0599999999995</v>
      </c>
      <c r="C6">
        <f t="shared" ref="C6:F6" si="3">SUM(C3:C5)</f>
        <v>3630.8300000000004</v>
      </c>
      <c r="D6">
        <f t="shared" si="3"/>
        <v>3750.85</v>
      </c>
      <c r="E6">
        <f t="shared" si="3"/>
        <v>4349.8999999999996</v>
      </c>
      <c r="F6" s="7">
        <f t="shared" si="3"/>
        <v>5475.24</v>
      </c>
      <c r="G6" s="7">
        <f t="shared" ref="G6" si="4">SUM(G3:G5)</f>
        <v>6724.4111842572938</v>
      </c>
      <c r="H6" s="7">
        <f t="shared" ref="H6" si="5">SUM(H3:H5)</f>
        <v>7149.5590708991767</v>
      </c>
      <c r="I6" s="7">
        <f t="shared" ref="I6" si="6">SUM(I3:I5)</f>
        <v>8284.5062292279799</v>
      </c>
      <c r="J6" s="7">
        <f t="shared" ref="J6" si="7">SUM(J3:J5)</f>
        <v>9579.8587820195062</v>
      </c>
      <c r="K6" s="7">
        <f t="shared" ref="K6" si="8">SUM(K3:K5)</f>
        <v>11279.34761527457</v>
      </c>
      <c r="L6" s="7">
        <f t="shared" ref="L6" si="9">SUM(L3:L5)</f>
        <v>13022.571522343129</v>
      </c>
      <c r="M6" s="7">
        <f t="shared" ref="M6" si="10">SUM(M3:M5)</f>
        <v>14868.994398701901</v>
      </c>
    </row>
    <row r="8" spans="1:13" x14ac:dyDescent="0.35">
      <c r="A8" s="18" t="s">
        <v>171</v>
      </c>
      <c r="B8">
        <f>'Balance_Sheet (5 years)'!B17</f>
        <v>4573.8100000000004</v>
      </c>
      <c r="C8">
        <f>'Balance_Sheet (5 years)'!C17</f>
        <v>3633.18</v>
      </c>
      <c r="D8">
        <f>'Balance_Sheet (5 years)'!D17</f>
        <v>4073.88</v>
      </c>
      <c r="E8">
        <f>'Balance_Sheet (5 years)'!E17</f>
        <v>5593.61</v>
      </c>
      <c r="F8">
        <f>'Balance_Sheet (5 years)'!F17</f>
        <v>6267.63</v>
      </c>
      <c r="G8" s="7">
        <f>G19*G15/365</f>
        <v>7393.2941458021696</v>
      </c>
      <c r="H8" s="7">
        <f t="shared" ref="H8:M8" si="11">H19*H15/365</f>
        <v>8010.5573584071135</v>
      </c>
      <c r="I8" s="7">
        <f t="shared" si="11"/>
        <v>9483.1025150908172</v>
      </c>
      <c r="J8" s="7">
        <f t="shared" si="11"/>
        <v>11072.266302718343</v>
      </c>
      <c r="K8" s="7">
        <f t="shared" si="11"/>
        <v>12774.89690161573</v>
      </c>
      <c r="L8" s="7">
        <f t="shared" si="11"/>
        <v>14716.816486854557</v>
      </c>
      <c r="M8" s="7">
        <f t="shared" si="11"/>
        <v>16901.48968203746</v>
      </c>
    </row>
    <row r="9" spans="1:13" x14ac:dyDescent="0.35">
      <c r="A9" s="18" t="s">
        <v>36</v>
      </c>
      <c r="B9">
        <f>'Balance_Sheet (5 years)'!B18</f>
        <v>892.88</v>
      </c>
      <c r="C9">
        <f>'Balance_Sheet (5 years)'!C18</f>
        <v>878.36</v>
      </c>
      <c r="D9">
        <f>'Balance_Sheet (5 years)'!D18</f>
        <v>934.47</v>
      </c>
      <c r="E9">
        <f>'Balance_Sheet (5 years)'!E18</f>
        <v>2083.4</v>
      </c>
      <c r="F9">
        <f>'Balance_Sheet (5 years)'!F18</f>
        <v>1455.46</v>
      </c>
      <c r="G9" s="7">
        <f>G22*G14</f>
        <v>1857.0344573416871</v>
      </c>
      <c r="H9" s="7">
        <f t="shared" ref="H9:M9" si="12">H22*H14</f>
        <v>2135.5211467391746</v>
      </c>
      <c r="I9" s="7">
        <f t="shared" si="12"/>
        <v>2571.4525016526491</v>
      </c>
      <c r="J9" s="7">
        <f t="shared" si="12"/>
        <v>3086.21766119218</v>
      </c>
      <c r="K9" s="7">
        <f t="shared" si="12"/>
        <v>3318.5657582551257</v>
      </c>
      <c r="L9" s="7">
        <f t="shared" si="12"/>
        <v>3905.5754348562009</v>
      </c>
      <c r="M9" s="7">
        <f t="shared" si="12"/>
        <v>4535.1771314243897</v>
      </c>
    </row>
    <row r="10" spans="1:13" x14ac:dyDescent="0.35">
      <c r="A10" s="20" t="s">
        <v>34</v>
      </c>
      <c r="B10">
        <f>SUM(B8:B9)</f>
        <v>5466.6900000000005</v>
      </c>
      <c r="C10">
        <f t="shared" ref="C10:F10" si="13">SUM(C8:C9)</f>
        <v>4511.54</v>
      </c>
      <c r="D10">
        <f t="shared" si="13"/>
        <v>5008.3500000000004</v>
      </c>
      <c r="E10">
        <f t="shared" si="13"/>
        <v>7677.01</v>
      </c>
      <c r="F10" s="7">
        <f t="shared" si="13"/>
        <v>7723.09</v>
      </c>
      <c r="G10" s="7">
        <f t="shared" ref="G10" si="14">SUM(G8:G9)</f>
        <v>9250.3286031438565</v>
      </c>
      <c r="H10" s="7">
        <f t="shared" ref="H10" si="15">SUM(H8:H9)</f>
        <v>10146.078505146288</v>
      </c>
      <c r="I10" s="7">
        <f t="shared" ref="I10" si="16">SUM(I8:I9)</f>
        <v>12054.555016743467</v>
      </c>
      <c r="J10" s="7">
        <f t="shared" ref="J10" si="17">SUM(J8:J9)</f>
        <v>14158.483963910523</v>
      </c>
      <c r="K10" s="7">
        <f t="shared" ref="K10" si="18">SUM(K8:K9)</f>
        <v>16093.462659870856</v>
      </c>
      <c r="L10" s="7">
        <f t="shared" ref="L10" si="19">SUM(L8:L9)</f>
        <v>18622.391921710758</v>
      </c>
      <c r="M10" s="7">
        <f t="shared" ref="M10" si="20">SUM(M8:M9)</f>
        <v>21436.666813461849</v>
      </c>
    </row>
    <row r="12" spans="1:13" x14ac:dyDescent="0.35">
      <c r="A12" s="29" t="s">
        <v>155</v>
      </c>
    </row>
    <row r="13" spans="1:13" x14ac:dyDescent="0.35">
      <c r="A13" s="24" t="s">
        <v>161</v>
      </c>
      <c r="B13" s="22" t="s">
        <v>6</v>
      </c>
      <c r="C13" s="3" t="s">
        <v>5</v>
      </c>
      <c r="D13" s="3" t="s">
        <v>4</v>
      </c>
      <c r="E13" s="4">
        <v>45352</v>
      </c>
      <c r="F13" s="3" t="s">
        <v>2</v>
      </c>
      <c r="G13" s="4">
        <v>46082</v>
      </c>
      <c r="H13" s="4">
        <v>46447</v>
      </c>
      <c r="I13" s="4">
        <v>46813</v>
      </c>
      <c r="J13" s="4">
        <v>47178</v>
      </c>
      <c r="K13" s="4">
        <v>47543</v>
      </c>
      <c r="L13" s="4">
        <v>47908</v>
      </c>
      <c r="M13" s="4">
        <v>48274</v>
      </c>
    </row>
    <row r="14" spans="1:13" x14ac:dyDescent="0.35">
      <c r="A14" s="19" t="s">
        <v>137</v>
      </c>
      <c r="B14" s="7">
        <f>FCFF_Projections!B3</f>
        <v>27741.08</v>
      </c>
      <c r="C14" s="7">
        <f>FCFF_Projections!C3</f>
        <v>33144.71</v>
      </c>
      <c r="D14" s="7">
        <f>FCFF_Projections!D3</f>
        <v>36427.599999999999</v>
      </c>
      <c r="E14" s="7">
        <f>FCFF_Projections!E3</f>
        <v>44685.23</v>
      </c>
      <c r="F14" s="7">
        <f>FCFF_Projections!F3</f>
        <v>50010.31</v>
      </c>
      <c r="G14" s="7">
        <f>FCFF_Projections!G3</f>
        <v>58008.083345865787</v>
      </c>
      <c r="H14" s="7">
        <f>FCFF_Projections!H3</f>
        <v>66779.25992134129</v>
      </c>
      <c r="I14" s="7">
        <f>FCFF_Projections!I3</f>
        <v>77747.475677260431</v>
      </c>
      <c r="J14" s="7">
        <f>FCFF_Projections!J3</f>
        <v>89303.532454550645</v>
      </c>
      <c r="K14" s="7">
        <f>FCFF_Projections!K3</f>
        <v>103235.11175020157</v>
      </c>
      <c r="L14" s="7">
        <f>FCFF_Projections!L3</f>
        <v>119238.8842836807</v>
      </c>
      <c r="M14" s="7">
        <f>FCFF_Projections!M3</f>
        <v>137837.37048861175</v>
      </c>
    </row>
    <row r="15" spans="1:13" x14ac:dyDescent="0.35">
      <c r="A15" s="19" t="s">
        <v>138</v>
      </c>
      <c r="B15" s="7">
        <f>FCFF_Projections!B4</f>
        <v>19829.13</v>
      </c>
      <c r="C15" s="7">
        <f>FCFF_Projections!C4</f>
        <v>24141.86</v>
      </c>
      <c r="D15" s="7">
        <f>FCFF_Projections!D4</f>
        <v>26152.86</v>
      </c>
      <c r="E15" s="7">
        <f>FCFF_Projections!E4</f>
        <v>31813.89</v>
      </c>
      <c r="F15" s="7">
        <f>FCFF_Projections!F4</f>
        <v>35302.26</v>
      </c>
      <c r="G15" s="7">
        <f>FCFF_Projections!G4</f>
        <v>41521.795022887622</v>
      </c>
      <c r="H15" s="7">
        <f>FCFF_Projections!H4</f>
        <v>47813.503300887685</v>
      </c>
      <c r="I15" s="7">
        <f>FCFF_Projections!I4</f>
        <v>55474.104955831688</v>
      </c>
      <c r="J15" s="7">
        <f>FCFF_Projections!J4</f>
        <v>63640.520486975191</v>
      </c>
      <c r="K15" s="7">
        <f>FCFF_Projections!K4</f>
        <v>73582.56650760262</v>
      </c>
      <c r="L15" s="7">
        <f>FCFF_Projections!L4</f>
        <v>85153.293075893787</v>
      </c>
      <c r="M15" s="7">
        <f>FCFF_Projections!M4</f>
        <v>98389.653877690405</v>
      </c>
    </row>
    <row r="16" spans="1:13" x14ac:dyDescent="0.35">
      <c r="A16" s="19"/>
    </row>
    <row r="17" spans="1:13" x14ac:dyDescent="0.35">
      <c r="A17" s="19" t="s">
        <v>172</v>
      </c>
      <c r="B17" s="7">
        <f>(B3/B14)*365</f>
        <v>35.746634593894683</v>
      </c>
      <c r="C17" s="7">
        <f t="shared" ref="C17:F17" si="21">(C3/C14)*365</f>
        <v>16.698854809711719</v>
      </c>
      <c r="D17" s="7">
        <f t="shared" si="21"/>
        <v>17.796500455698425</v>
      </c>
      <c r="E17" s="7">
        <f t="shared" si="21"/>
        <v>17.33628762792538</v>
      </c>
      <c r="F17" s="7">
        <f t="shared" si="21"/>
        <v>16.659836741663867</v>
      </c>
      <c r="G17" s="7">
        <f>AVERAGE(B17:F17)</f>
        <v>20.847622845778812</v>
      </c>
      <c r="H17" s="7">
        <f t="shared" ref="H17:M17" si="22">AVERAGE(C17:G17)</f>
        <v>17.867820496155641</v>
      </c>
      <c r="I17" s="7">
        <f t="shared" si="22"/>
        <v>18.101613633444426</v>
      </c>
      <c r="J17" s="7">
        <f t="shared" si="22"/>
        <v>18.162636268993626</v>
      </c>
      <c r="K17" s="7">
        <f t="shared" si="22"/>
        <v>18.327905997207274</v>
      </c>
      <c r="L17" s="7">
        <f t="shared" si="22"/>
        <v>18.661519848315955</v>
      </c>
      <c r="M17" s="7">
        <f t="shared" si="22"/>
        <v>18.224299248823382</v>
      </c>
    </row>
    <row r="18" spans="1:13" x14ac:dyDescent="0.35">
      <c r="A18" s="19" t="s">
        <v>173</v>
      </c>
      <c r="B18" s="7">
        <f>B4/B15*365</f>
        <v>27.498425296520825</v>
      </c>
      <c r="C18" s="7">
        <f t="shared" ref="C18:F18" si="23">C4/C15*365</f>
        <v>18.604040865119753</v>
      </c>
      <c r="D18" s="7">
        <f t="shared" si="23"/>
        <v>19.509663570255796</v>
      </c>
      <c r="E18" s="7">
        <f t="shared" si="23"/>
        <v>19.453807755040327</v>
      </c>
      <c r="F18" s="7">
        <f t="shared" si="23"/>
        <v>20.243279042191634</v>
      </c>
      <c r="G18" s="7">
        <f>AVERAGE(B18:F18)</f>
        <v>21.061843305825668</v>
      </c>
      <c r="H18" s="7">
        <f t="shared" ref="H18:M18" si="24">AVERAGE(C18:G18)</f>
        <v>19.774526907686635</v>
      </c>
      <c r="I18" s="7">
        <f t="shared" si="24"/>
        <v>20.008624116200014</v>
      </c>
      <c r="J18" s="7">
        <f t="shared" si="24"/>
        <v>20.108416225388854</v>
      </c>
      <c r="K18" s="7">
        <f t="shared" si="24"/>
        <v>20.23933791945856</v>
      </c>
      <c r="L18" s="7">
        <f t="shared" si="24"/>
        <v>20.238549694911946</v>
      </c>
      <c r="M18" s="7">
        <f t="shared" si="24"/>
        <v>20.073890972729203</v>
      </c>
    </row>
    <row r="19" spans="1:13" x14ac:dyDescent="0.35">
      <c r="A19" s="19" t="s">
        <v>174</v>
      </c>
      <c r="B19" s="7">
        <f>B8/B15*365</f>
        <v>84.191321051402667</v>
      </c>
      <c r="C19" s="7">
        <f t="shared" ref="C19:F19" si="25">C8/C15*365</f>
        <v>54.929930833829701</v>
      </c>
      <c r="D19" s="7">
        <f t="shared" si="25"/>
        <v>56.856733833316888</v>
      </c>
      <c r="E19" s="7">
        <f t="shared" si="25"/>
        <v>64.175353909880243</v>
      </c>
      <c r="F19" s="7">
        <f t="shared" si="25"/>
        <v>64.802790246290172</v>
      </c>
      <c r="G19" s="7">
        <f>AVERAGE(B19:F19)</f>
        <v>64.991225974943944</v>
      </c>
      <c r="H19" s="7">
        <f t="shared" ref="H19:M19" si="26">AVERAGE(C19:G19)</f>
        <v>61.1512069596522</v>
      </c>
      <c r="I19" s="7">
        <f t="shared" si="26"/>
        <v>62.395462184816687</v>
      </c>
      <c r="J19" s="7">
        <f t="shared" si="26"/>
        <v>63.503207855116649</v>
      </c>
      <c r="K19" s="7">
        <f t="shared" si="26"/>
        <v>63.368778644163932</v>
      </c>
      <c r="L19" s="7">
        <f t="shared" si="26"/>
        <v>63.081976323738687</v>
      </c>
      <c r="M19" s="7">
        <f t="shared" si="26"/>
        <v>62.700126393497634</v>
      </c>
    </row>
    <row r="20" spans="1:13" x14ac:dyDescent="0.35">
      <c r="A20" s="19"/>
    </row>
    <row r="21" spans="1:13" x14ac:dyDescent="0.35">
      <c r="A21" s="19" t="s">
        <v>175</v>
      </c>
      <c r="B21" s="5">
        <f>B5/B14</f>
        <v>8.4106314534257483E-3</v>
      </c>
      <c r="C21" s="5">
        <f t="shared" ref="C21:F21" si="27">C5/C14</f>
        <v>2.6669112506943041E-2</v>
      </c>
      <c r="D21" s="5">
        <f t="shared" si="27"/>
        <v>1.5834971285508793E-2</v>
      </c>
      <c r="E21" s="5">
        <f t="shared" si="27"/>
        <v>1.1902814419887733E-2</v>
      </c>
      <c r="F21" s="5">
        <f t="shared" si="27"/>
        <v>2.4688909146933904E-2</v>
      </c>
      <c r="G21" s="6">
        <f>AVERAGE(B21:F21)</f>
        <v>1.7501287762539845E-2</v>
      </c>
      <c r="H21" s="6">
        <f t="shared" ref="H21:M21" si="28">AVERAGE(C21:G21)</f>
        <v>1.9319419024362662E-2</v>
      </c>
      <c r="I21" s="6">
        <f t="shared" si="28"/>
        <v>1.7849480327846591E-2</v>
      </c>
      <c r="J21" s="6">
        <f t="shared" si="28"/>
        <v>1.8252382136314145E-2</v>
      </c>
      <c r="K21" s="6">
        <f t="shared" si="28"/>
        <v>1.9522295679599427E-2</v>
      </c>
      <c r="L21" s="6">
        <f t="shared" si="28"/>
        <v>1.8488972986132536E-2</v>
      </c>
      <c r="M21" s="6">
        <f t="shared" si="28"/>
        <v>1.8686510030851072E-2</v>
      </c>
    </row>
    <row r="22" spans="1:13" x14ac:dyDescent="0.35">
      <c r="A22" s="19" t="s">
        <v>176</v>
      </c>
      <c r="B22" s="5">
        <f>B9/B14</f>
        <v>3.218620183496821E-2</v>
      </c>
      <c r="C22" s="5">
        <f t="shared" ref="C22:F22" si="29">C9/C14</f>
        <v>2.650075984976185E-2</v>
      </c>
      <c r="D22" s="5">
        <f t="shared" si="29"/>
        <v>2.5652801721771406E-2</v>
      </c>
      <c r="E22" s="5">
        <f t="shared" si="29"/>
        <v>4.662390682558868E-2</v>
      </c>
      <c r="F22" s="5">
        <f t="shared" si="29"/>
        <v>2.9103198920382618E-2</v>
      </c>
      <c r="G22" s="5">
        <f>AVERAGE(B22:F22)</f>
        <v>3.201337383049456E-2</v>
      </c>
      <c r="H22" s="5">
        <f t="shared" ref="H22:M22" si="30">AVERAGE(C22:G22)</f>
        <v>3.1978808229599823E-2</v>
      </c>
      <c r="I22" s="5">
        <f t="shared" si="30"/>
        <v>3.3074417905567408E-2</v>
      </c>
      <c r="J22" s="5">
        <f t="shared" si="30"/>
        <v>3.455874114232662E-2</v>
      </c>
      <c r="K22" s="5">
        <f t="shared" si="30"/>
        <v>3.2145708005674206E-2</v>
      </c>
      <c r="L22" s="5">
        <f t="shared" si="30"/>
        <v>3.275420982273252E-2</v>
      </c>
      <c r="M22" s="5">
        <f t="shared" si="30"/>
        <v>3.2902377021180117E-2</v>
      </c>
    </row>
  </sheetData>
  <mergeCells count="1">
    <mergeCell ref="G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B9D7-46EE-4345-887E-25E46ECB83A0}">
  <dimension ref="A1:M11"/>
  <sheetViews>
    <sheetView zoomScale="112" zoomScaleNormal="112" workbookViewId="0">
      <selection activeCell="D18" sqref="D18"/>
    </sheetView>
  </sheetViews>
  <sheetFormatPr defaultRowHeight="14.5" x14ac:dyDescent="0.35"/>
  <cols>
    <col min="1" max="1" width="27.453125" bestFit="1" customWidth="1"/>
    <col min="2" max="10" width="8.81640625" bestFit="1" customWidth="1"/>
    <col min="11" max="13" width="9.36328125" bestFit="1" customWidth="1"/>
  </cols>
  <sheetData>
    <row r="1" spans="1:13" x14ac:dyDescent="0.35">
      <c r="A1" s="30" t="s">
        <v>160</v>
      </c>
      <c r="G1" s="62" t="s">
        <v>136</v>
      </c>
      <c r="H1" s="62"/>
      <c r="I1" s="62"/>
      <c r="J1" s="62"/>
      <c r="K1" s="62"/>
      <c r="L1" s="62"/>
      <c r="M1" s="62"/>
    </row>
    <row r="2" spans="1:13" x14ac:dyDescent="0.35">
      <c r="A2" s="19" t="s">
        <v>161</v>
      </c>
      <c r="B2" s="22" t="s">
        <v>6</v>
      </c>
      <c r="C2" s="3" t="s">
        <v>5</v>
      </c>
      <c r="D2" s="3" t="s">
        <v>4</v>
      </c>
      <c r="E2" s="4">
        <v>45352</v>
      </c>
      <c r="F2" s="3" t="s">
        <v>2</v>
      </c>
      <c r="G2" s="4">
        <v>46082</v>
      </c>
      <c r="H2" s="4">
        <v>46447</v>
      </c>
      <c r="I2" s="4">
        <v>46813</v>
      </c>
      <c r="J2" s="4">
        <v>47178</v>
      </c>
      <c r="K2" s="4">
        <v>47543</v>
      </c>
      <c r="L2" s="4">
        <v>47908</v>
      </c>
      <c r="M2" s="4">
        <v>48274</v>
      </c>
    </row>
    <row r="3" spans="1:13" x14ac:dyDescent="0.35">
      <c r="A3" s="18" t="s">
        <v>162</v>
      </c>
      <c r="B3" s="7">
        <f>'Balance_Sheet (5 years)'!B29</f>
        <v>1612.63</v>
      </c>
      <c r="C3" s="7">
        <f>'Balance_Sheet (5 years)'!C29</f>
        <v>1782.89</v>
      </c>
      <c r="D3" s="7">
        <f>'Balance_Sheet (5 years)'!D29</f>
        <v>2665.99</v>
      </c>
      <c r="E3" s="7">
        <f>'Balance_Sheet (5 years)'!E29</f>
        <v>3149.76</v>
      </c>
      <c r="F3" s="7">
        <f>'Balance_Sheet (5 years)'!F29</f>
        <v>3502.98</v>
      </c>
      <c r="G3" s="7">
        <f>F3-F4+F5</f>
        <v>4349.307763061086</v>
      </c>
      <c r="H3" s="7">
        <f t="shared" ref="H3:M3" si="0">G6</f>
        <v>5434.8279922306201</v>
      </c>
      <c r="I3" s="7">
        <f t="shared" si="0"/>
        <v>6461.9744327324815</v>
      </c>
      <c r="J3" s="7">
        <f t="shared" si="0"/>
        <v>7758.8541408240189</v>
      </c>
      <c r="K3" s="7">
        <f t="shared" si="0"/>
        <v>9481.8865474451795</v>
      </c>
      <c r="L3" s="7">
        <f t="shared" si="0"/>
        <v>11537.325393309809</v>
      </c>
      <c r="M3" s="7">
        <f t="shared" si="0"/>
        <v>13905.538559574097</v>
      </c>
    </row>
    <row r="4" spans="1:13" x14ac:dyDescent="0.35">
      <c r="A4" s="18" t="s">
        <v>163</v>
      </c>
      <c r="B4" s="7">
        <f>'Income_Statement (5 years)'!B26</f>
        <v>259.27999999999997</v>
      </c>
      <c r="C4" s="7">
        <f>'Income_Statement (5 years)'!C26</f>
        <v>269.17</v>
      </c>
      <c r="D4" s="7">
        <f>'Income_Statement (5 years)'!D26</f>
        <v>282.44</v>
      </c>
      <c r="E4" s="7">
        <f>'Income_Statement (5 years)'!E26</f>
        <v>349.84</v>
      </c>
      <c r="F4" s="7">
        <f>'Income_Statement (5 years)'!F26</f>
        <v>400.09</v>
      </c>
      <c r="G4" s="7">
        <f>G10*G3</f>
        <v>559.30328766811238</v>
      </c>
      <c r="H4" s="7">
        <f t="shared" ref="H4:M4" si="1">H10*H3</f>
        <v>663.9128906683278</v>
      </c>
      <c r="I4" s="7">
        <f t="shared" si="1"/>
        <v>752.14762747306986</v>
      </c>
      <c r="J4" s="7">
        <f t="shared" si="1"/>
        <v>919.32147848059026</v>
      </c>
      <c r="K4" s="7">
        <f t="shared" si="1"/>
        <v>1137.545290312356</v>
      </c>
      <c r="L4" s="7">
        <f t="shared" si="1"/>
        <v>1397.4191811613675</v>
      </c>
      <c r="M4" s="7">
        <f t="shared" si="1"/>
        <v>1663.4739670394049</v>
      </c>
    </row>
    <row r="5" spans="1:13" x14ac:dyDescent="0.35">
      <c r="A5" s="18" t="s">
        <v>164</v>
      </c>
      <c r="B5" s="7">
        <f>B6-B3+B4</f>
        <v>429.53999999999996</v>
      </c>
      <c r="C5" s="7">
        <f t="shared" ref="C5:E5" si="2">C6-C3+C4</f>
        <v>1152.2699999999998</v>
      </c>
      <c r="D5" s="7">
        <f t="shared" si="2"/>
        <v>766.21000000000049</v>
      </c>
      <c r="E5" s="7">
        <f t="shared" si="2"/>
        <v>703.05999999999972</v>
      </c>
      <c r="F5" s="7">
        <f>F11*F3</f>
        <v>1246.4177630610857</v>
      </c>
      <c r="G5" s="7">
        <f>G11*G3</f>
        <v>1644.8235168376461</v>
      </c>
      <c r="H5" s="7">
        <f t="shared" ref="H5:M5" si="3">H11*H3</f>
        <v>1691.0593311701896</v>
      </c>
      <c r="I5" s="7">
        <f t="shared" si="3"/>
        <v>2049.0273355646068</v>
      </c>
      <c r="J5" s="7">
        <f t="shared" si="3"/>
        <v>2642.3538851017506</v>
      </c>
      <c r="K5" s="7">
        <f t="shared" si="3"/>
        <v>3192.9841361769877</v>
      </c>
      <c r="L5" s="7">
        <f t="shared" si="3"/>
        <v>3765.6323474256556</v>
      </c>
      <c r="M5" s="7">
        <f t="shared" si="3"/>
        <v>4591.5476081031102</v>
      </c>
    </row>
    <row r="6" spans="1:13" x14ac:dyDescent="0.35">
      <c r="A6" s="20" t="s">
        <v>165</v>
      </c>
      <c r="B6" s="7">
        <f>'Balance_Sheet (5 years)'!C29</f>
        <v>1782.89</v>
      </c>
      <c r="C6" s="7">
        <f>'Balance_Sheet (5 years)'!D29</f>
        <v>2665.99</v>
      </c>
      <c r="D6" s="7">
        <f>'Balance_Sheet (5 years)'!E29</f>
        <v>3149.76</v>
      </c>
      <c r="E6" s="7">
        <f>'Balance_Sheet (5 years)'!F29</f>
        <v>3502.98</v>
      </c>
      <c r="F6" s="7">
        <f>F3-F4+F5</f>
        <v>4349.307763061086</v>
      </c>
      <c r="G6" s="7">
        <f>G3-G4+G5</f>
        <v>5434.8279922306201</v>
      </c>
      <c r="H6" s="7">
        <f t="shared" ref="H6:M6" si="4">H3-H4+H5</f>
        <v>6461.9744327324815</v>
      </c>
      <c r="I6" s="7">
        <f t="shared" si="4"/>
        <v>7758.8541408240189</v>
      </c>
      <c r="J6" s="7">
        <f t="shared" si="4"/>
        <v>9481.8865474451795</v>
      </c>
      <c r="K6" s="7">
        <f t="shared" si="4"/>
        <v>11537.325393309809</v>
      </c>
      <c r="L6" s="7">
        <f t="shared" si="4"/>
        <v>13905.538559574097</v>
      </c>
      <c r="M6" s="7">
        <f t="shared" si="4"/>
        <v>16833.612200637803</v>
      </c>
    </row>
    <row r="8" spans="1:13" x14ac:dyDescent="0.35">
      <c r="A8" s="31" t="s">
        <v>155</v>
      </c>
    </row>
    <row r="9" spans="1:13" x14ac:dyDescent="0.35">
      <c r="A9" s="30" t="s">
        <v>161</v>
      </c>
      <c r="B9" s="22" t="s">
        <v>6</v>
      </c>
      <c r="C9" s="3" t="s">
        <v>5</v>
      </c>
      <c r="D9" s="3" t="s">
        <v>4</v>
      </c>
      <c r="E9" s="4">
        <v>45352</v>
      </c>
      <c r="F9" s="3" t="s">
        <v>2</v>
      </c>
      <c r="G9" s="4">
        <v>46082</v>
      </c>
      <c r="H9" s="4">
        <v>46447</v>
      </c>
      <c r="I9" s="4">
        <v>46813</v>
      </c>
      <c r="J9" s="4">
        <v>47178</v>
      </c>
      <c r="K9" s="4">
        <v>47543</v>
      </c>
      <c r="L9" s="4">
        <v>47908</v>
      </c>
      <c r="M9" s="4">
        <v>48274</v>
      </c>
    </row>
    <row r="10" spans="1:13" x14ac:dyDescent="0.35">
      <c r="A10" s="19" t="s">
        <v>166</v>
      </c>
      <c r="B10" s="5">
        <f>B4/B3</f>
        <v>0.16078083627366474</v>
      </c>
      <c r="C10" s="5">
        <f t="shared" ref="C10:E10" si="5">C4/C3</f>
        <v>0.15097398044747573</v>
      </c>
      <c r="D10" s="5">
        <f t="shared" si="5"/>
        <v>0.10594188275274852</v>
      </c>
      <c r="E10" s="5">
        <f t="shared" si="5"/>
        <v>0.11106877984354362</v>
      </c>
      <c r="F10" s="5">
        <f>F4/F3</f>
        <v>0.11421418335245989</v>
      </c>
      <c r="G10" s="6">
        <f>AVERAGE(B10:F10)</f>
        <v>0.1285959325339785</v>
      </c>
      <c r="H10" s="6">
        <f t="shared" ref="H10:M10" si="6">AVERAGE(C10:G10)</f>
        <v>0.12215895178604126</v>
      </c>
      <c r="I10" s="6">
        <f t="shared" si="6"/>
        <v>0.11639594605375436</v>
      </c>
      <c r="J10" s="6">
        <f t="shared" si="6"/>
        <v>0.11848675871395553</v>
      </c>
      <c r="K10" s="6">
        <f t="shared" si="6"/>
        <v>0.1199703544880379</v>
      </c>
      <c r="L10" s="6">
        <f t="shared" si="6"/>
        <v>0.12112158871515351</v>
      </c>
      <c r="M10" s="6">
        <f t="shared" si="6"/>
        <v>0.11962671995138852</v>
      </c>
    </row>
    <row r="11" spans="1:13" x14ac:dyDescent="0.35">
      <c r="A11" s="19" t="s">
        <v>167</v>
      </c>
      <c r="B11" s="5">
        <f>B5/B3</f>
        <v>0.26635992137068015</v>
      </c>
      <c r="C11" s="5">
        <f t="shared" ref="C11:E11" si="7">C5/C3</f>
        <v>0.64629337760602146</v>
      </c>
      <c r="D11" s="5">
        <f t="shared" si="7"/>
        <v>0.28740167817583734</v>
      </c>
      <c r="E11" s="5">
        <f t="shared" si="7"/>
        <v>0.22321065731992268</v>
      </c>
      <c r="F11" s="5">
        <f>AVERAGE(B11:E11)</f>
        <v>0.35581640861811537</v>
      </c>
      <c r="G11" s="5">
        <f t="shared" ref="G11:M11" si="8">AVERAGE(C11:F11)</f>
        <v>0.37818053042997424</v>
      </c>
      <c r="H11" s="5">
        <f t="shared" si="8"/>
        <v>0.31115231863596238</v>
      </c>
      <c r="I11" s="5">
        <f t="shared" si="8"/>
        <v>0.31708997875099365</v>
      </c>
      <c r="J11" s="5">
        <f t="shared" si="8"/>
        <v>0.34055980910876138</v>
      </c>
      <c r="K11" s="5">
        <f t="shared" si="8"/>
        <v>0.33674565923142291</v>
      </c>
      <c r="L11" s="5">
        <f t="shared" si="8"/>
        <v>0.32638694143178509</v>
      </c>
      <c r="M11" s="5">
        <f t="shared" si="8"/>
        <v>0.33019559713074076</v>
      </c>
    </row>
  </sheetData>
  <mergeCells count="1">
    <mergeCell ref="G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8FB0-CDA5-4671-9858-37B8638B3251}">
  <dimension ref="B1:L123"/>
  <sheetViews>
    <sheetView workbookViewId="0">
      <selection activeCell="J20" sqref="J20"/>
    </sheetView>
  </sheetViews>
  <sheetFormatPr defaultRowHeight="14.5" x14ac:dyDescent="0.35"/>
  <cols>
    <col min="2" max="2" width="10.08984375" bestFit="1" customWidth="1"/>
    <col min="7" max="7" width="12.54296875" customWidth="1"/>
    <col min="10" max="10" width="11.90625" bestFit="1" customWidth="1"/>
    <col min="12" max="12" width="9.36328125" bestFit="1" customWidth="1"/>
  </cols>
  <sheetData>
    <row r="1" spans="2:12" ht="18.5" x14ac:dyDescent="0.45">
      <c r="B1" s="63" t="s">
        <v>191</v>
      </c>
      <c r="C1" s="63"/>
      <c r="D1" s="63"/>
      <c r="E1" s="63"/>
      <c r="F1" s="63"/>
      <c r="G1" s="63"/>
    </row>
    <row r="3" spans="2:12" x14ac:dyDescent="0.35">
      <c r="B3" s="12" t="s">
        <v>192</v>
      </c>
      <c r="C3" s="12" t="s">
        <v>193</v>
      </c>
      <c r="D3" s="12" t="s">
        <v>194</v>
      </c>
      <c r="E3" s="12" t="s">
        <v>195</v>
      </c>
      <c r="F3" s="12" t="s">
        <v>196</v>
      </c>
      <c r="G3" s="12" t="s">
        <v>197</v>
      </c>
    </row>
    <row r="4" spans="2:12" x14ac:dyDescent="0.35">
      <c r="B4" s="11">
        <v>45717</v>
      </c>
      <c r="C4">
        <v>6.57</v>
      </c>
      <c r="D4">
        <v>6.73</v>
      </c>
      <c r="E4">
        <v>6.74</v>
      </c>
      <c r="F4">
        <v>6.57</v>
      </c>
      <c r="G4" s="6">
        <v>-2.23E-2</v>
      </c>
    </row>
    <row r="5" spans="2:12" x14ac:dyDescent="0.35">
      <c r="B5" s="11">
        <v>45689</v>
      </c>
      <c r="C5">
        <v>6.72</v>
      </c>
      <c r="D5">
        <v>6.66</v>
      </c>
      <c r="E5">
        <v>6.72</v>
      </c>
      <c r="F5">
        <v>6.65</v>
      </c>
      <c r="G5" s="6">
        <v>4.4999999999999997E-3</v>
      </c>
    </row>
    <row r="6" spans="2:12" x14ac:dyDescent="0.35">
      <c r="B6" s="11">
        <v>45658</v>
      </c>
      <c r="C6">
        <v>6.69</v>
      </c>
      <c r="D6">
        <v>6.78</v>
      </c>
      <c r="E6">
        <v>6.84</v>
      </c>
      <c r="F6">
        <v>6.67</v>
      </c>
      <c r="G6" s="6">
        <v>-1.04E-2</v>
      </c>
      <c r="J6" s="12" t="s">
        <v>198</v>
      </c>
      <c r="K6" s="16">
        <f>AVERAGE(Table1[Price])</f>
        <v>6.9652416666666648</v>
      </c>
    </row>
    <row r="7" spans="2:12" x14ac:dyDescent="0.35">
      <c r="B7" s="11">
        <v>45627</v>
      </c>
      <c r="C7">
        <v>6.76</v>
      </c>
      <c r="D7">
        <v>6.8019999999999996</v>
      </c>
      <c r="E7">
        <v>6.8070000000000004</v>
      </c>
      <c r="F7">
        <v>6.6680000000000001</v>
      </c>
      <c r="G7" s="6">
        <v>1.2999999999999999E-3</v>
      </c>
    </row>
    <row r="8" spans="2:12" x14ac:dyDescent="0.35">
      <c r="B8" s="11">
        <v>45597</v>
      </c>
      <c r="C8">
        <v>6.7510000000000003</v>
      </c>
      <c r="D8">
        <v>6.8310000000000004</v>
      </c>
      <c r="E8">
        <v>6.8630000000000004</v>
      </c>
      <c r="F8">
        <v>6.7389999999999999</v>
      </c>
      <c r="G8" s="6">
        <v>-1.32E-2</v>
      </c>
      <c r="L8" s="5">
        <f>0.0697</f>
        <v>6.9699999999999998E-2</v>
      </c>
    </row>
    <row r="9" spans="2:12" x14ac:dyDescent="0.35">
      <c r="B9" s="11">
        <v>45566</v>
      </c>
      <c r="C9">
        <v>6.8410000000000002</v>
      </c>
      <c r="D9">
        <v>6.7590000000000003</v>
      </c>
      <c r="E9">
        <v>6.875</v>
      </c>
      <c r="F9">
        <v>6.73</v>
      </c>
      <c r="G9" s="6">
        <v>1.35E-2</v>
      </c>
    </row>
    <row r="10" spans="2:12" x14ac:dyDescent="0.35">
      <c r="B10" s="11">
        <v>45536</v>
      </c>
      <c r="C10">
        <v>6.75</v>
      </c>
      <c r="D10">
        <v>6.8769999999999998</v>
      </c>
      <c r="E10">
        <v>6.8849999999999998</v>
      </c>
      <c r="F10">
        <v>6.7060000000000004</v>
      </c>
      <c r="G10" s="6">
        <v>-1.6500000000000001E-2</v>
      </c>
    </row>
    <row r="11" spans="2:12" x14ac:dyDescent="0.35">
      <c r="B11" s="11">
        <v>45505</v>
      </c>
      <c r="C11">
        <v>6.8630000000000004</v>
      </c>
      <c r="D11">
        <v>6.9119999999999999</v>
      </c>
      <c r="E11">
        <v>6.9189999999999996</v>
      </c>
      <c r="F11">
        <v>6.843</v>
      </c>
      <c r="G11" s="6">
        <v>-8.8000000000000005E-3</v>
      </c>
    </row>
    <row r="12" spans="2:12" x14ac:dyDescent="0.35">
      <c r="B12" s="11">
        <v>45474</v>
      </c>
      <c r="C12">
        <v>6.9240000000000004</v>
      </c>
      <c r="D12">
        <v>7.0229999999999997</v>
      </c>
      <c r="E12">
        <v>7.024</v>
      </c>
      <c r="F12">
        <v>6.91</v>
      </c>
      <c r="G12" s="6">
        <v>-1.2E-2</v>
      </c>
    </row>
    <row r="13" spans="2:12" x14ac:dyDescent="0.35">
      <c r="B13" s="11">
        <v>45444</v>
      </c>
      <c r="C13">
        <v>7.008</v>
      </c>
      <c r="D13">
        <v>6.9550000000000001</v>
      </c>
      <c r="E13">
        <v>7.0620000000000003</v>
      </c>
      <c r="F13">
        <v>6.9450000000000003</v>
      </c>
      <c r="G13" s="6">
        <v>3.0999999999999999E-3</v>
      </c>
    </row>
    <row r="14" spans="2:12" x14ac:dyDescent="0.35">
      <c r="B14" s="11">
        <v>45413</v>
      </c>
      <c r="C14">
        <v>6.9859999999999998</v>
      </c>
      <c r="D14">
        <v>7.17</v>
      </c>
      <c r="E14">
        <v>7.173</v>
      </c>
      <c r="F14">
        <v>6.9669999999999996</v>
      </c>
      <c r="G14" s="6">
        <v>-2.9000000000000001E-2</v>
      </c>
    </row>
    <row r="15" spans="2:12" x14ac:dyDescent="0.35">
      <c r="B15" s="11">
        <v>45383</v>
      </c>
      <c r="C15">
        <v>7.1950000000000003</v>
      </c>
      <c r="D15">
        <v>7.085</v>
      </c>
      <c r="E15">
        <v>7.242</v>
      </c>
      <c r="F15">
        <v>7.0750000000000002</v>
      </c>
      <c r="G15" s="6">
        <v>2.0299999999999999E-2</v>
      </c>
    </row>
    <row r="16" spans="2:12" x14ac:dyDescent="0.35">
      <c r="B16" s="11">
        <v>45352</v>
      </c>
      <c r="C16">
        <v>7.0519999999999996</v>
      </c>
      <c r="D16">
        <v>7.0620000000000003</v>
      </c>
      <c r="E16">
        <v>7.1029999999999998</v>
      </c>
      <c r="F16">
        <v>7.0060000000000002</v>
      </c>
      <c r="G16" s="6">
        <v>-3.7000000000000002E-3</v>
      </c>
    </row>
    <row r="17" spans="2:7" x14ac:dyDescent="0.35">
      <c r="B17" s="11">
        <v>45323</v>
      </c>
      <c r="C17">
        <v>7.0780000000000003</v>
      </c>
      <c r="D17">
        <v>7.1289999999999996</v>
      </c>
      <c r="E17">
        <v>7.14</v>
      </c>
      <c r="F17">
        <v>7.0209999999999999</v>
      </c>
      <c r="G17" s="6">
        <v>-9.1999999999999998E-3</v>
      </c>
    </row>
    <row r="18" spans="2:7" x14ac:dyDescent="0.35">
      <c r="B18" s="11">
        <v>45292</v>
      </c>
      <c r="C18">
        <v>7.1440000000000001</v>
      </c>
      <c r="D18">
        <v>7.2069999999999999</v>
      </c>
      <c r="E18">
        <v>7.2389999999999999</v>
      </c>
      <c r="F18">
        <v>7.1340000000000003</v>
      </c>
      <c r="G18" s="6">
        <v>-4.4999999999999997E-3</v>
      </c>
    </row>
    <row r="19" spans="2:7" x14ac:dyDescent="0.35">
      <c r="B19" s="11">
        <v>45261</v>
      </c>
      <c r="C19">
        <v>7.1760000000000002</v>
      </c>
      <c r="D19">
        <v>7.2930000000000001</v>
      </c>
      <c r="E19">
        <v>7.298</v>
      </c>
      <c r="F19">
        <v>7.1470000000000002</v>
      </c>
      <c r="G19" s="6">
        <v>-1.4200000000000001E-2</v>
      </c>
    </row>
    <row r="20" spans="2:7" x14ac:dyDescent="0.35">
      <c r="B20" s="11">
        <v>45231</v>
      </c>
      <c r="C20">
        <v>7.2789999999999999</v>
      </c>
      <c r="D20">
        <v>7.3760000000000003</v>
      </c>
      <c r="E20">
        <v>7.3760000000000003</v>
      </c>
      <c r="F20">
        <v>7.194</v>
      </c>
      <c r="G20" s="6">
        <v>-9.7999999999999997E-3</v>
      </c>
    </row>
    <row r="21" spans="2:7" x14ac:dyDescent="0.35">
      <c r="B21" s="11">
        <v>45200</v>
      </c>
      <c r="C21">
        <v>7.351</v>
      </c>
      <c r="D21">
        <v>7.2389999999999999</v>
      </c>
      <c r="E21">
        <v>7.3949999999999996</v>
      </c>
      <c r="F21">
        <v>7.2050000000000001</v>
      </c>
      <c r="G21" s="6">
        <v>1.9599999999999999E-2</v>
      </c>
    </row>
    <row r="22" spans="2:7" x14ac:dyDescent="0.35">
      <c r="B22" s="11">
        <v>45170</v>
      </c>
      <c r="C22">
        <v>7.21</v>
      </c>
      <c r="D22">
        <v>7.1740000000000004</v>
      </c>
      <c r="E22">
        <v>7.2409999999999997</v>
      </c>
      <c r="F22">
        <v>7.0860000000000003</v>
      </c>
      <c r="G22" s="6">
        <v>6.1000000000000004E-3</v>
      </c>
    </row>
    <row r="23" spans="2:7" x14ac:dyDescent="0.35">
      <c r="B23" s="11">
        <v>45139</v>
      </c>
      <c r="C23">
        <v>7.1660000000000004</v>
      </c>
      <c r="D23">
        <v>7.1859999999999999</v>
      </c>
      <c r="E23">
        <v>7.2560000000000002</v>
      </c>
      <c r="F23">
        <v>7.1470000000000002</v>
      </c>
      <c r="G23" s="6">
        <v>-8.0000000000000004E-4</v>
      </c>
    </row>
    <row r="24" spans="2:7" x14ac:dyDescent="0.35">
      <c r="B24" s="11">
        <v>45108</v>
      </c>
      <c r="C24">
        <v>7.1719999999999997</v>
      </c>
      <c r="D24">
        <v>7.1130000000000004</v>
      </c>
      <c r="E24">
        <v>7.1849999999999996</v>
      </c>
      <c r="F24">
        <v>7.0469999999999997</v>
      </c>
      <c r="G24" s="6">
        <v>8.6999999999999994E-3</v>
      </c>
    </row>
    <row r="25" spans="2:7" x14ac:dyDescent="0.35">
      <c r="B25" s="11">
        <v>45078</v>
      </c>
      <c r="C25">
        <v>7.11</v>
      </c>
      <c r="D25">
        <v>7.0190000000000001</v>
      </c>
      <c r="E25">
        <v>7.117</v>
      </c>
      <c r="F25">
        <v>6.9630000000000001</v>
      </c>
      <c r="G25" s="6">
        <v>1.7299999999999999E-2</v>
      </c>
    </row>
    <row r="26" spans="2:7" x14ac:dyDescent="0.35">
      <c r="B26" s="11">
        <v>45047</v>
      </c>
      <c r="C26">
        <v>6.9889999999999999</v>
      </c>
      <c r="D26">
        <v>7.1349999999999998</v>
      </c>
      <c r="E26">
        <v>7.1379999999999999</v>
      </c>
      <c r="F26">
        <v>6.9470000000000001</v>
      </c>
      <c r="G26" s="6">
        <v>-1.78E-2</v>
      </c>
    </row>
    <row r="27" spans="2:7" x14ac:dyDescent="0.35">
      <c r="B27" s="11">
        <v>45017</v>
      </c>
      <c r="C27">
        <v>7.1159999999999997</v>
      </c>
      <c r="D27">
        <v>7.37</v>
      </c>
      <c r="E27">
        <v>7.37</v>
      </c>
      <c r="F27">
        <v>7.077</v>
      </c>
      <c r="G27" s="6">
        <v>-2.7199999999999998E-2</v>
      </c>
    </row>
    <row r="28" spans="2:7" x14ac:dyDescent="0.35">
      <c r="B28" s="11">
        <v>44986</v>
      </c>
      <c r="C28">
        <v>7.3150000000000004</v>
      </c>
      <c r="D28">
        <v>7.468</v>
      </c>
      <c r="E28">
        <v>7.4729999999999999</v>
      </c>
      <c r="F28">
        <v>7.28</v>
      </c>
      <c r="G28" s="6">
        <v>-1.9E-2</v>
      </c>
    </row>
    <row r="29" spans="2:7" x14ac:dyDescent="0.35">
      <c r="B29" s="11">
        <v>44958</v>
      </c>
      <c r="C29">
        <v>7.4569999999999999</v>
      </c>
      <c r="D29">
        <v>7.4160000000000004</v>
      </c>
      <c r="E29">
        <v>7.4649999999999999</v>
      </c>
      <c r="F29">
        <v>7.2450000000000001</v>
      </c>
      <c r="G29" s="6">
        <v>1.55E-2</v>
      </c>
    </row>
    <row r="30" spans="2:7" x14ac:dyDescent="0.35">
      <c r="B30" s="11">
        <v>44927</v>
      </c>
      <c r="C30">
        <v>7.343</v>
      </c>
      <c r="D30">
        <v>7.3460000000000001</v>
      </c>
      <c r="E30">
        <v>7.407</v>
      </c>
      <c r="F30">
        <v>7.266</v>
      </c>
      <c r="G30" s="6">
        <v>2.2000000000000001E-3</v>
      </c>
    </row>
    <row r="31" spans="2:7" x14ac:dyDescent="0.35">
      <c r="B31" s="11">
        <v>44896</v>
      </c>
      <c r="C31">
        <v>7.327</v>
      </c>
      <c r="D31">
        <v>7.2549999999999999</v>
      </c>
      <c r="E31">
        <v>7.3440000000000003</v>
      </c>
      <c r="F31">
        <v>7.181</v>
      </c>
      <c r="G31" s="6">
        <v>6.4999999999999997E-3</v>
      </c>
    </row>
    <row r="32" spans="2:7" x14ac:dyDescent="0.35">
      <c r="B32" s="11">
        <v>44866</v>
      </c>
      <c r="C32">
        <v>7.28</v>
      </c>
      <c r="D32">
        <v>7.4349999999999996</v>
      </c>
      <c r="E32">
        <v>7.4969999999999999</v>
      </c>
      <c r="F32">
        <v>7.2350000000000003</v>
      </c>
      <c r="G32" s="6">
        <v>-2.2200000000000001E-2</v>
      </c>
    </row>
    <row r="33" spans="2:7" x14ac:dyDescent="0.35">
      <c r="B33" s="11">
        <v>44835</v>
      </c>
      <c r="C33">
        <v>7.4450000000000003</v>
      </c>
      <c r="D33">
        <v>7.4029999999999996</v>
      </c>
      <c r="E33">
        <v>7.5410000000000004</v>
      </c>
      <c r="F33">
        <v>7.3609999999999998</v>
      </c>
      <c r="G33" s="6">
        <v>6.4000000000000003E-3</v>
      </c>
    </row>
    <row r="34" spans="2:7" x14ac:dyDescent="0.35">
      <c r="B34" s="11">
        <v>44805</v>
      </c>
      <c r="C34">
        <v>7.3979999999999997</v>
      </c>
      <c r="D34">
        <v>7.23</v>
      </c>
      <c r="E34">
        <v>7.423</v>
      </c>
      <c r="F34">
        <v>7.1059999999999999</v>
      </c>
      <c r="G34" s="6">
        <v>2.92E-2</v>
      </c>
    </row>
    <row r="35" spans="2:7" x14ac:dyDescent="0.35">
      <c r="B35" s="11">
        <v>44774</v>
      </c>
      <c r="C35">
        <v>7.1879999999999997</v>
      </c>
      <c r="D35">
        <v>7.3570000000000002</v>
      </c>
      <c r="E35">
        <v>7.3659999999999997</v>
      </c>
      <c r="F35">
        <v>7.11</v>
      </c>
      <c r="G35" s="6">
        <v>-1.7999999999999999E-2</v>
      </c>
    </row>
    <row r="36" spans="2:7" x14ac:dyDescent="0.35">
      <c r="B36" s="11">
        <v>44743</v>
      </c>
      <c r="C36">
        <v>7.32</v>
      </c>
      <c r="D36">
        <v>7.4269999999999996</v>
      </c>
      <c r="E36">
        <v>7.4749999999999996</v>
      </c>
      <c r="F36">
        <v>7.2549999999999999</v>
      </c>
      <c r="G36" s="6">
        <v>-1.7399999999999999E-2</v>
      </c>
    </row>
    <row r="37" spans="2:7" x14ac:dyDescent="0.35">
      <c r="B37" s="11">
        <v>44713</v>
      </c>
      <c r="C37">
        <v>7.45</v>
      </c>
      <c r="D37">
        <v>7.4370000000000003</v>
      </c>
      <c r="E37">
        <v>7.617</v>
      </c>
      <c r="F37">
        <v>7.3650000000000002</v>
      </c>
      <c r="G37" s="6">
        <v>4.7000000000000002E-3</v>
      </c>
    </row>
    <row r="38" spans="2:7" x14ac:dyDescent="0.35">
      <c r="B38" s="11">
        <v>44682</v>
      </c>
      <c r="C38">
        <v>7.415</v>
      </c>
      <c r="D38">
        <v>7.1379999999999999</v>
      </c>
      <c r="E38">
        <v>7.4909999999999997</v>
      </c>
      <c r="F38">
        <v>7.1159999999999997</v>
      </c>
      <c r="G38" s="6">
        <v>3.8699999999999998E-2</v>
      </c>
    </row>
    <row r="39" spans="2:7" x14ac:dyDescent="0.35">
      <c r="B39" s="11">
        <v>44652</v>
      </c>
      <c r="C39">
        <v>7.1390000000000002</v>
      </c>
      <c r="D39">
        <v>6.9509999999999996</v>
      </c>
      <c r="E39">
        <v>7.2850000000000001</v>
      </c>
      <c r="F39">
        <v>6.891</v>
      </c>
      <c r="G39" s="6">
        <v>4.3299999999999998E-2</v>
      </c>
    </row>
    <row r="40" spans="2:7" x14ac:dyDescent="0.35">
      <c r="B40" s="11">
        <v>44621</v>
      </c>
      <c r="C40">
        <v>6.843</v>
      </c>
      <c r="D40">
        <v>6.7990000000000004</v>
      </c>
      <c r="E40">
        <v>6.9189999999999996</v>
      </c>
      <c r="F40">
        <v>6.7729999999999997</v>
      </c>
      <c r="G40" s="6">
        <v>1.0800000000000001E-2</v>
      </c>
    </row>
    <row r="41" spans="2:7" x14ac:dyDescent="0.35">
      <c r="B41" s="11">
        <v>44593</v>
      </c>
      <c r="C41">
        <v>6.77</v>
      </c>
      <c r="D41">
        <v>6.7279999999999998</v>
      </c>
      <c r="E41">
        <v>6.9550000000000001</v>
      </c>
      <c r="F41">
        <v>6.6150000000000002</v>
      </c>
      <c r="G41" s="6">
        <v>1.29E-2</v>
      </c>
    </row>
    <row r="42" spans="2:7" x14ac:dyDescent="0.35">
      <c r="B42" s="11">
        <v>44562</v>
      </c>
      <c r="C42">
        <v>6.6840000000000002</v>
      </c>
      <c r="D42">
        <v>6.4630000000000001</v>
      </c>
      <c r="E42">
        <v>6.8019999999999996</v>
      </c>
      <c r="F42">
        <v>6.4550000000000001</v>
      </c>
      <c r="G42" s="6">
        <v>3.56E-2</v>
      </c>
    </row>
    <row r="43" spans="2:7" x14ac:dyDescent="0.35">
      <c r="B43" s="11">
        <v>44531</v>
      </c>
      <c r="C43">
        <v>6.4539999999999997</v>
      </c>
      <c r="D43">
        <v>6.36</v>
      </c>
      <c r="E43">
        <v>6.4969999999999999</v>
      </c>
      <c r="F43">
        <v>6.34</v>
      </c>
      <c r="G43" s="6">
        <v>2.0199999999999999E-2</v>
      </c>
    </row>
    <row r="44" spans="2:7" x14ac:dyDescent="0.35">
      <c r="B44" s="11">
        <v>44501</v>
      </c>
      <c r="C44">
        <v>6.3259999999999996</v>
      </c>
      <c r="D44">
        <v>6.391</v>
      </c>
      <c r="E44">
        <v>6.3929999999999998</v>
      </c>
      <c r="F44">
        <v>6.2869999999999999</v>
      </c>
      <c r="G44" s="6">
        <v>-9.7000000000000003E-3</v>
      </c>
    </row>
    <row r="45" spans="2:7" x14ac:dyDescent="0.35">
      <c r="B45" s="11">
        <v>44470</v>
      </c>
      <c r="C45">
        <v>6.3879999999999999</v>
      </c>
      <c r="D45">
        <v>6.23</v>
      </c>
      <c r="E45">
        <v>6.4290000000000003</v>
      </c>
      <c r="F45">
        <v>6.226</v>
      </c>
      <c r="G45" s="6">
        <v>2.6499999999999999E-2</v>
      </c>
    </row>
    <row r="46" spans="2:7" x14ac:dyDescent="0.35">
      <c r="B46" s="11">
        <v>44440</v>
      </c>
      <c r="C46">
        <v>6.2229999999999999</v>
      </c>
      <c r="D46">
        <v>6.2350000000000003</v>
      </c>
      <c r="E46">
        <v>6.2350000000000003</v>
      </c>
      <c r="F46">
        <v>6.1159999999999997</v>
      </c>
      <c r="G46" s="6">
        <v>1.2999999999999999E-3</v>
      </c>
    </row>
    <row r="47" spans="2:7" x14ac:dyDescent="0.35">
      <c r="B47" s="11">
        <v>44409</v>
      </c>
      <c r="C47">
        <v>6.2149999999999999</v>
      </c>
      <c r="D47">
        <v>6.2039999999999997</v>
      </c>
      <c r="E47">
        <v>6.2839999999999998</v>
      </c>
      <c r="F47">
        <v>6.1879999999999997</v>
      </c>
      <c r="G47" s="6">
        <v>1.8E-3</v>
      </c>
    </row>
    <row r="48" spans="2:7" x14ac:dyDescent="0.35">
      <c r="B48" s="11">
        <v>44378</v>
      </c>
      <c r="C48">
        <v>6.2039999999999997</v>
      </c>
      <c r="D48">
        <v>6.0819999999999999</v>
      </c>
      <c r="E48">
        <v>6.2770000000000001</v>
      </c>
      <c r="F48">
        <v>6.0350000000000001</v>
      </c>
      <c r="G48" s="6">
        <v>2.53E-2</v>
      </c>
    </row>
    <row r="49" spans="2:7" x14ac:dyDescent="0.35">
      <c r="B49" s="11">
        <v>44348</v>
      </c>
      <c r="C49">
        <v>6.0510000000000002</v>
      </c>
      <c r="D49">
        <v>6.032</v>
      </c>
      <c r="E49">
        <v>6.0890000000000004</v>
      </c>
      <c r="F49">
        <v>5.984</v>
      </c>
      <c r="G49" s="6">
        <v>4.7999999999999996E-3</v>
      </c>
    </row>
    <row r="50" spans="2:7" x14ac:dyDescent="0.35">
      <c r="B50" s="11">
        <v>44317</v>
      </c>
      <c r="C50">
        <v>6.0220000000000002</v>
      </c>
      <c r="D50">
        <v>6.0289999999999999</v>
      </c>
      <c r="E50">
        <v>6.048</v>
      </c>
      <c r="F50">
        <v>5.9580000000000002</v>
      </c>
      <c r="G50" s="6">
        <v>-1.2999999999999999E-3</v>
      </c>
    </row>
    <row r="51" spans="2:7" x14ac:dyDescent="0.35">
      <c r="B51" s="11">
        <v>44287</v>
      </c>
      <c r="C51">
        <v>6.03</v>
      </c>
      <c r="D51">
        <v>6.202</v>
      </c>
      <c r="E51">
        <v>6.202</v>
      </c>
      <c r="F51">
        <v>5.99</v>
      </c>
      <c r="G51" s="6">
        <v>-2.3800000000000002E-2</v>
      </c>
    </row>
    <row r="52" spans="2:7" x14ac:dyDescent="0.35">
      <c r="B52" s="11">
        <v>44256</v>
      </c>
      <c r="C52">
        <v>6.1769999999999996</v>
      </c>
      <c r="D52">
        <v>6.2359999999999998</v>
      </c>
      <c r="E52">
        <v>6.274</v>
      </c>
      <c r="F52">
        <v>6.1139999999999999</v>
      </c>
      <c r="G52" s="6">
        <v>-8.3000000000000001E-3</v>
      </c>
    </row>
    <row r="53" spans="2:7" x14ac:dyDescent="0.35">
      <c r="B53" s="11">
        <v>44228</v>
      </c>
      <c r="C53">
        <v>6.2290000000000001</v>
      </c>
      <c r="D53">
        <v>5.9169999999999998</v>
      </c>
      <c r="E53">
        <v>6.242</v>
      </c>
      <c r="F53">
        <v>5.8879999999999999</v>
      </c>
      <c r="G53" s="6">
        <v>4.7100000000000003E-2</v>
      </c>
    </row>
    <row r="54" spans="2:7" x14ac:dyDescent="0.35">
      <c r="B54" s="11">
        <v>44197</v>
      </c>
      <c r="C54">
        <v>5.9489999999999998</v>
      </c>
      <c r="D54">
        <v>5.9050000000000002</v>
      </c>
      <c r="E54">
        <v>5.9880000000000004</v>
      </c>
      <c r="F54">
        <v>5.8390000000000004</v>
      </c>
      <c r="G54" s="6">
        <v>9.2999999999999992E-3</v>
      </c>
    </row>
    <row r="55" spans="2:7" x14ac:dyDescent="0.35">
      <c r="B55" s="11">
        <v>44166</v>
      </c>
      <c r="C55">
        <v>5.8940000000000001</v>
      </c>
      <c r="D55">
        <v>5.9189999999999996</v>
      </c>
      <c r="E55">
        <v>5.9809999999999999</v>
      </c>
      <c r="F55">
        <v>5.8869999999999996</v>
      </c>
      <c r="G55" s="6">
        <v>-2.8999999999999998E-3</v>
      </c>
    </row>
    <row r="56" spans="2:7" x14ac:dyDescent="0.35">
      <c r="B56" s="11">
        <v>44136</v>
      </c>
      <c r="C56">
        <v>5.9109999999999996</v>
      </c>
      <c r="D56">
        <v>5.89</v>
      </c>
      <c r="E56">
        <v>5.9359999999999999</v>
      </c>
      <c r="F56">
        <v>5.8369999999999997</v>
      </c>
      <c r="G56" s="6">
        <v>5.1000000000000004E-3</v>
      </c>
    </row>
    <row r="57" spans="2:7" x14ac:dyDescent="0.35">
      <c r="B57" s="11">
        <v>44105</v>
      </c>
      <c r="C57">
        <v>5.8810000000000002</v>
      </c>
      <c r="D57">
        <v>5.9649999999999999</v>
      </c>
      <c r="E57">
        <v>6.0419999999999998</v>
      </c>
      <c r="F57">
        <v>5.7910000000000004</v>
      </c>
      <c r="G57" s="6">
        <v>-2.23E-2</v>
      </c>
    </row>
    <row r="58" spans="2:7" x14ac:dyDescent="0.35">
      <c r="B58" s="11">
        <v>44075</v>
      </c>
      <c r="C58">
        <v>6.0149999999999997</v>
      </c>
      <c r="D58">
        <v>5.9489999999999998</v>
      </c>
      <c r="E58">
        <v>6.109</v>
      </c>
      <c r="F58">
        <v>5.8780000000000001</v>
      </c>
      <c r="G58" s="6">
        <v>-1.04E-2</v>
      </c>
    </row>
    <row r="59" spans="2:7" x14ac:dyDescent="0.35">
      <c r="B59" s="11">
        <v>44044</v>
      </c>
      <c r="C59">
        <v>6.0780000000000003</v>
      </c>
      <c r="D59">
        <v>5.8460000000000001</v>
      </c>
      <c r="E59">
        <v>6.2309999999999999</v>
      </c>
      <c r="F59">
        <v>5.8079999999999998</v>
      </c>
      <c r="G59" s="6">
        <v>4.1300000000000003E-2</v>
      </c>
    </row>
    <row r="60" spans="2:7" x14ac:dyDescent="0.35">
      <c r="B60" s="11">
        <v>44013</v>
      </c>
      <c r="C60">
        <v>5.8369999999999997</v>
      </c>
      <c r="D60">
        <v>5.907</v>
      </c>
      <c r="E60">
        <v>5.907</v>
      </c>
      <c r="F60">
        <v>5.7469999999999999</v>
      </c>
      <c r="G60" s="6">
        <v>-8.6999999999999994E-3</v>
      </c>
    </row>
    <row r="61" spans="2:7" x14ac:dyDescent="0.35">
      <c r="B61" s="11">
        <v>43983</v>
      </c>
      <c r="C61">
        <v>5.8879999999999999</v>
      </c>
      <c r="D61">
        <v>6.0549999999999997</v>
      </c>
      <c r="E61">
        <v>6.0890000000000004</v>
      </c>
      <c r="F61">
        <v>5.7549999999999999</v>
      </c>
      <c r="G61" s="6">
        <v>-2.0799999999999999E-2</v>
      </c>
    </row>
    <row r="62" spans="2:7" x14ac:dyDescent="0.35">
      <c r="B62" s="11">
        <v>43952</v>
      </c>
      <c r="C62">
        <v>6.0129999999999999</v>
      </c>
      <c r="D62">
        <v>6.1379999999999999</v>
      </c>
      <c r="E62">
        <v>6.25</v>
      </c>
      <c r="F62">
        <v>5.8789999999999996</v>
      </c>
      <c r="G62" s="6">
        <v>-1.5900000000000001E-2</v>
      </c>
    </row>
    <row r="63" spans="2:7" x14ac:dyDescent="0.35">
      <c r="B63" s="11">
        <v>43922</v>
      </c>
      <c r="C63">
        <v>6.11</v>
      </c>
      <c r="D63">
        <v>6.2869999999999999</v>
      </c>
      <c r="E63">
        <v>6.5039999999999996</v>
      </c>
      <c r="F63">
        <v>6.0149999999999997</v>
      </c>
      <c r="G63" s="6">
        <v>-4.5999999999999999E-3</v>
      </c>
    </row>
    <row r="64" spans="2:7" x14ac:dyDescent="0.35">
      <c r="B64" s="11">
        <v>43891</v>
      </c>
      <c r="C64">
        <v>6.1379999999999999</v>
      </c>
      <c r="D64">
        <v>6.343</v>
      </c>
      <c r="E64">
        <v>6.4489999999999998</v>
      </c>
      <c r="F64">
        <v>5.9950000000000001</v>
      </c>
      <c r="G64" s="6">
        <v>-3.6600000000000001E-2</v>
      </c>
    </row>
    <row r="65" spans="2:7" x14ac:dyDescent="0.35">
      <c r="B65" s="11">
        <v>43862</v>
      </c>
      <c r="C65">
        <v>6.3710000000000004</v>
      </c>
      <c r="D65">
        <v>6.5090000000000003</v>
      </c>
      <c r="E65">
        <v>6.52</v>
      </c>
      <c r="F65">
        <v>6.3259999999999996</v>
      </c>
      <c r="G65" s="6">
        <v>-3.4599999999999999E-2</v>
      </c>
    </row>
    <row r="66" spans="2:7" x14ac:dyDescent="0.35">
      <c r="B66" s="11">
        <v>43831</v>
      </c>
      <c r="C66">
        <v>6.5990000000000002</v>
      </c>
      <c r="D66">
        <v>6.548</v>
      </c>
      <c r="E66">
        <v>6.6920000000000002</v>
      </c>
      <c r="F66">
        <v>6.4850000000000003</v>
      </c>
      <c r="G66" s="6">
        <v>6.8999999999999999E-3</v>
      </c>
    </row>
    <row r="67" spans="2:7" x14ac:dyDescent="0.35">
      <c r="B67" s="11">
        <v>43800</v>
      </c>
      <c r="C67">
        <v>6.5540000000000003</v>
      </c>
      <c r="D67">
        <v>6.4630000000000001</v>
      </c>
      <c r="E67">
        <v>6.8369999999999997</v>
      </c>
      <c r="F67">
        <v>6.4480000000000004</v>
      </c>
      <c r="G67" s="6">
        <v>1.46E-2</v>
      </c>
    </row>
    <row r="68" spans="2:7" x14ac:dyDescent="0.35">
      <c r="B68" s="11">
        <v>43770</v>
      </c>
      <c r="C68">
        <v>6.46</v>
      </c>
      <c r="D68">
        <v>6.431</v>
      </c>
      <c r="E68">
        <v>6.5739999999999998</v>
      </c>
      <c r="F68">
        <v>6.415</v>
      </c>
      <c r="G68" s="6">
        <v>-2.75E-2</v>
      </c>
    </row>
    <row r="69" spans="2:7" x14ac:dyDescent="0.35">
      <c r="B69" s="11">
        <v>43739</v>
      </c>
      <c r="C69">
        <v>6.6429999999999998</v>
      </c>
      <c r="D69">
        <v>6.68</v>
      </c>
      <c r="E69">
        <v>6.7389999999999999</v>
      </c>
      <c r="F69">
        <v>6.5819999999999999</v>
      </c>
      <c r="G69" s="6">
        <v>-7.7999999999999996E-3</v>
      </c>
    </row>
    <row r="70" spans="2:7" x14ac:dyDescent="0.35">
      <c r="B70" s="11">
        <v>43709</v>
      </c>
      <c r="C70">
        <v>6.6950000000000003</v>
      </c>
      <c r="D70">
        <v>6.4980000000000002</v>
      </c>
      <c r="E70">
        <v>6.8739999999999997</v>
      </c>
      <c r="F70">
        <v>6.4880000000000004</v>
      </c>
      <c r="G70" s="6">
        <v>2.12E-2</v>
      </c>
    </row>
    <row r="71" spans="2:7" x14ac:dyDescent="0.35">
      <c r="B71" s="11">
        <v>43678</v>
      </c>
      <c r="C71">
        <v>6.556</v>
      </c>
      <c r="D71">
        <v>6.3940000000000001</v>
      </c>
      <c r="E71">
        <v>6.6390000000000002</v>
      </c>
      <c r="F71">
        <v>6.2960000000000003</v>
      </c>
      <c r="G71" s="6">
        <v>2.9399999999999999E-2</v>
      </c>
    </row>
    <row r="72" spans="2:7" x14ac:dyDescent="0.35">
      <c r="B72" s="11">
        <v>43647</v>
      </c>
      <c r="C72">
        <v>6.3689999999999998</v>
      </c>
      <c r="D72">
        <v>6.9059999999999997</v>
      </c>
      <c r="E72">
        <v>6.93</v>
      </c>
      <c r="F72">
        <v>6.266</v>
      </c>
      <c r="G72" s="6">
        <v>-7.4099999999999999E-2</v>
      </c>
    </row>
    <row r="73" spans="2:7" x14ac:dyDescent="0.35">
      <c r="B73" s="11">
        <v>43617</v>
      </c>
      <c r="C73">
        <v>6.8789999999999996</v>
      </c>
      <c r="D73">
        <v>6.9489999999999998</v>
      </c>
      <c r="E73">
        <v>7.0970000000000004</v>
      </c>
      <c r="F73">
        <v>6.734</v>
      </c>
      <c r="G73" s="6">
        <v>-2.18E-2</v>
      </c>
    </row>
    <row r="74" spans="2:7" x14ac:dyDescent="0.35">
      <c r="B74" s="11">
        <v>43586</v>
      </c>
      <c r="C74">
        <v>7.032</v>
      </c>
      <c r="D74">
        <v>7.4109999999999996</v>
      </c>
      <c r="E74">
        <v>7.4260000000000002</v>
      </c>
      <c r="F74">
        <v>7.03</v>
      </c>
      <c r="G74" s="6">
        <v>-5.1499999999999997E-2</v>
      </c>
    </row>
    <row r="75" spans="2:7" x14ac:dyDescent="0.35">
      <c r="B75" s="11">
        <v>43556</v>
      </c>
      <c r="C75">
        <v>7.4139999999999997</v>
      </c>
      <c r="D75">
        <v>7.3559999999999999</v>
      </c>
      <c r="E75">
        <v>7.4969999999999999</v>
      </c>
      <c r="F75">
        <v>7.2290000000000001</v>
      </c>
      <c r="G75" s="6">
        <v>9.2999999999999992E-3</v>
      </c>
    </row>
    <row r="76" spans="2:7" x14ac:dyDescent="0.35">
      <c r="B76" s="11">
        <v>43525</v>
      </c>
      <c r="C76">
        <v>7.3460000000000001</v>
      </c>
      <c r="D76">
        <v>7.5880000000000001</v>
      </c>
      <c r="E76">
        <v>7.59</v>
      </c>
      <c r="F76">
        <v>7.3010000000000002</v>
      </c>
      <c r="G76" s="6">
        <v>-3.2300000000000002E-2</v>
      </c>
    </row>
    <row r="77" spans="2:7" x14ac:dyDescent="0.35">
      <c r="B77" s="11">
        <v>43497</v>
      </c>
      <c r="C77">
        <v>7.5910000000000002</v>
      </c>
      <c r="D77">
        <v>7.47</v>
      </c>
      <c r="E77">
        <v>7.6989999999999998</v>
      </c>
      <c r="F77">
        <v>7.4249999999999998</v>
      </c>
      <c r="G77" s="6">
        <v>1.44E-2</v>
      </c>
    </row>
    <row r="78" spans="2:7" x14ac:dyDescent="0.35">
      <c r="B78" s="11">
        <v>43466</v>
      </c>
      <c r="C78">
        <v>7.4829999999999997</v>
      </c>
      <c r="D78">
        <v>7.4009999999999998</v>
      </c>
      <c r="E78">
        <v>7.65</v>
      </c>
      <c r="F78">
        <v>7.35</v>
      </c>
      <c r="G78" s="6">
        <v>1.5299999999999999E-2</v>
      </c>
    </row>
    <row r="79" spans="2:7" x14ac:dyDescent="0.35">
      <c r="B79" s="11">
        <v>43435</v>
      </c>
      <c r="C79">
        <v>7.37</v>
      </c>
      <c r="D79">
        <v>7.6459999999999999</v>
      </c>
      <c r="E79">
        <v>7.7030000000000003</v>
      </c>
      <c r="F79">
        <v>7.218</v>
      </c>
      <c r="G79" s="6">
        <v>-3.1199999999999999E-2</v>
      </c>
    </row>
    <row r="80" spans="2:7" x14ac:dyDescent="0.35">
      <c r="B80" s="11">
        <v>43405</v>
      </c>
      <c r="C80">
        <v>7.6070000000000002</v>
      </c>
      <c r="D80">
        <v>7.8310000000000004</v>
      </c>
      <c r="E80">
        <v>7.84</v>
      </c>
      <c r="F80">
        <v>7.5759999999999996</v>
      </c>
      <c r="G80" s="6">
        <v>-3.1300000000000001E-2</v>
      </c>
    </row>
    <row r="81" spans="2:7" x14ac:dyDescent="0.35">
      <c r="B81" s="11">
        <v>43374</v>
      </c>
      <c r="C81">
        <v>7.8529999999999998</v>
      </c>
      <c r="D81">
        <v>7.923</v>
      </c>
      <c r="E81">
        <v>8.2100000000000009</v>
      </c>
      <c r="F81">
        <v>7.7969999999999997</v>
      </c>
      <c r="G81" s="6">
        <v>-2.1299999999999999E-2</v>
      </c>
    </row>
    <row r="82" spans="2:7" x14ac:dyDescent="0.35">
      <c r="B82" s="11">
        <v>43344</v>
      </c>
      <c r="C82">
        <v>8.0239999999999991</v>
      </c>
      <c r="D82">
        <v>7.94</v>
      </c>
      <c r="E82">
        <v>8.2309999999999999</v>
      </c>
      <c r="F82">
        <v>7.9169999999999998</v>
      </c>
      <c r="G82" s="6">
        <v>9.1999999999999998E-3</v>
      </c>
    </row>
    <row r="83" spans="2:7" x14ac:dyDescent="0.35">
      <c r="B83" s="11">
        <v>43313</v>
      </c>
      <c r="C83">
        <v>7.9509999999999996</v>
      </c>
      <c r="D83">
        <v>7.7670000000000003</v>
      </c>
      <c r="E83">
        <v>7.9580000000000002</v>
      </c>
      <c r="F83">
        <v>7.681</v>
      </c>
      <c r="G83" s="6">
        <v>2.3E-2</v>
      </c>
    </row>
    <row r="84" spans="2:7" x14ac:dyDescent="0.35">
      <c r="B84" s="11">
        <v>43282</v>
      </c>
      <c r="C84">
        <v>7.7720000000000002</v>
      </c>
      <c r="D84">
        <v>7.8890000000000002</v>
      </c>
      <c r="E84">
        <v>7.9169999999999998</v>
      </c>
      <c r="F84">
        <v>7.7229999999999999</v>
      </c>
      <c r="G84" s="6">
        <v>-1.66E-2</v>
      </c>
    </row>
    <row r="85" spans="2:7" x14ac:dyDescent="0.35">
      <c r="B85" s="11">
        <v>43252</v>
      </c>
      <c r="C85">
        <v>7.9029999999999996</v>
      </c>
      <c r="D85">
        <v>7.86</v>
      </c>
      <c r="E85">
        <v>8</v>
      </c>
      <c r="F85">
        <v>7.7690000000000001</v>
      </c>
      <c r="G85" s="6">
        <v>9.7999999999999997E-3</v>
      </c>
    </row>
    <row r="86" spans="2:7" x14ac:dyDescent="0.35">
      <c r="B86" s="11">
        <v>43221</v>
      </c>
      <c r="C86">
        <v>7.8259999999999996</v>
      </c>
      <c r="D86">
        <v>7.7309999999999999</v>
      </c>
      <c r="E86">
        <v>7.9450000000000003</v>
      </c>
      <c r="F86">
        <v>7.5529999999999999</v>
      </c>
      <c r="G86" s="6">
        <v>7.6E-3</v>
      </c>
    </row>
    <row r="87" spans="2:7" x14ac:dyDescent="0.35">
      <c r="B87" s="11">
        <v>43191</v>
      </c>
      <c r="C87">
        <v>7.7670000000000003</v>
      </c>
      <c r="D87">
        <v>7.3330000000000002</v>
      </c>
      <c r="E87">
        <v>7.7969999999999997</v>
      </c>
      <c r="F87">
        <v>7.1230000000000002</v>
      </c>
      <c r="G87" s="6">
        <v>4.99E-2</v>
      </c>
    </row>
    <row r="88" spans="2:7" x14ac:dyDescent="0.35">
      <c r="B88" s="11">
        <v>43160</v>
      </c>
      <c r="C88">
        <v>7.3979999999999997</v>
      </c>
      <c r="D88">
        <v>7.726</v>
      </c>
      <c r="E88">
        <v>7.8</v>
      </c>
      <c r="F88">
        <v>7.2859999999999996</v>
      </c>
      <c r="G88" s="6">
        <v>-4.2500000000000003E-2</v>
      </c>
    </row>
    <row r="89" spans="2:7" x14ac:dyDescent="0.35">
      <c r="B89" s="11">
        <v>43132</v>
      </c>
      <c r="C89">
        <v>7.726</v>
      </c>
      <c r="D89">
        <v>7.4459999999999997</v>
      </c>
      <c r="E89">
        <v>7.8159999999999998</v>
      </c>
      <c r="F89">
        <v>7.399</v>
      </c>
      <c r="G89" s="6">
        <v>3.9800000000000002E-2</v>
      </c>
    </row>
    <row r="90" spans="2:7" x14ac:dyDescent="0.35">
      <c r="B90" s="11">
        <v>43101</v>
      </c>
      <c r="C90">
        <v>7.43</v>
      </c>
      <c r="D90">
        <v>7.3490000000000002</v>
      </c>
      <c r="E90">
        <v>7.5869999999999997</v>
      </c>
      <c r="F90">
        <v>7.2430000000000003</v>
      </c>
      <c r="G90" s="6">
        <v>1.4200000000000001E-2</v>
      </c>
    </row>
    <row r="91" spans="2:7" x14ac:dyDescent="0.35">
      <c r="B91" s="11">
        <v>43070</v>
      </c>
      <c r="C91">
        <v>7.3259999999999996</v>
      </c>
      <c r="D91">
        <v>7.0880000000000001</v>
      </c>
      <c r="E91">
        <v>7.41</v>
      </c>
      <c r="F91">
        <v>7.0119999999999996</v>
      </c>
      <c r="G91" s="6">
        <v>3.7999999999999999E-2</v>
      </c>
    </row>
    <row r="92" spans="2:7" x14ac:dyDescent="0.35">
      <c r="B92" s="11">
        <v>43040</v>
      </c>
      <c r="C92">
        <v>7.0579999999999998</v>
      </c>
      <c r="D92">
        <v>6.8789999999999996</v>
      </c>
      <c r="E92">
        <v>7.0839999999999996</v>
      </c>
      <c r="F92">
        <v>6.8470000000000004</v>
      </c>
      <c r="G92" s="6">
        <v>2.86E-2</v>
      </c>
    </row>
    <row r="93" spans="2:7" x14ac:dyDescent="0.35">
      <c r="B93" s="11">
        <v>43009</v>
      </c>
      <c r="C93">
        <v>6.8620000000000001</v>
      </c>
      <c r="D93">
        <v>6.6740000000000004</v>
      </c>
      <c r="E93">
        <v>6.8979999999999997</v>
      </c>
      <c r="F93">
        <v>6.625</v>
      </c>
      <c r="G93" s="6">
        <v>2.9899999999999999E-2</v>
      </c>
    </row>
    <row r="94" spans="2:7" x14ac:dyDescent="0.35">
      <c r="B94" s="11">
        <v>42979</v>
      </c>
      <c r="C94">
        <v>6.6630000000000003</v>
      </c>
      <c r="D94">
        <v>6.492</v>
      </c>
      <c r="E94">
        <v>6.71</v>
      </c>
      <c r="F94">
        <v>6.4770000000000003</v>
      </c>
      <c r="G94" s="6">
        <v>2.1100000000000001E-2</v>
      </c>
    </row>
    <row r="95" spans="2:7" x14ac:dyDescent="0.35">
      <c r="B95" s="11">
        <v>42948</v>
      </c>
      <c r="C95">
        <v>6.5250000000000004</v>
      </c>
      <c r="D95">
        <v>6.4660000000000002</v>
      </c>
      <c r="E95">
        <v>6.5759999999999996</v>
      </c>
      <c r="F95">
        <v>6.4189999999999996</v>
      </c>
      <c r="G95" s="6">
        <v>9.2999999999999992E-3</v>
      </c>
    </row>
    <row r="96" spans="2:7" x14ac:dyDescent="0.35">
      <c r="B96" s="11">
        <v>42917</v>
      </c>
      <c r="C96">
        <v>6.4649999999999999</v>
      </c>
      <c r="D96">
        <v>6.61</v>
      </c>
      <c r="E96">
        <v>6.6180000000000003</v>
      </c>
      <c r="F96">
        <v>6.4039999999999999</v>
      </c>
      <c r="G96" s="6">
        <v>-7.1000000000000004E-3</v>
      </c>
    </row>
    <row r="97" spans="2:7" x14ac:dyDescent="0.35">
      <c r="B97" s="11">
        <v>42887</v>
      </c>
      <c r="C97">
        <v>6.5110000000000001</v>
      </c>
      <c r="D97">
        <v>6.649</v>
      </c>
      <c r="E97">
        <v>6.6719999999999997</v>
      </c>
      <c r="F97">
        <v>6.4189999999999996</v>
      </c>
      <c r="G97" s="6">
        <v>-2.2499999999999999E-2</v>
      </c>
    </row>
    <row r="98" spans="2:7" x14ac:dyDescent="0.35">
      <c r="B98" s="11">
        <v>42856</v>
      </c>
      <c r="C98">
        <v>6.6609999999999996</v>
      </c>
      <c r="D98">
        <v>6.968</v>
      </c>
      <c r="E98">
        <v>6.9939999999999998</v>
      </c>
      <c r="F98">
        <v>6.6529999999999996</v>
      </c>
      <c r="G98" s="6">
        <v>-4.3099999999999999E-2</v>
      </c>
    </row>
    <row r="99" spans="2:7" x14ac:dyDescent="0.35">
      <c r="B99" s="11">
        <v>42826</v>
      </c>
      <c r="C99">
        <v>6.9610000000000003</v>
      </c>
      <c r="D99">
        <v>6.6580000000000004</v>
      </c>
      <c r="E99">
        <v>6.9829999999999997</v>
      </c>
      <c r="F99">
        <v>6.5540000000000003</v>
      </c>
      <c r="G99" s="6">
        <v>4.5499999999999999E-2</v>
      </c>
    </row>
    <row r="100" spans="2:7" x14ac:dyDescent="0.35">
      <c r="B100" s="11">
        <v>42795</v>
      </c>
      <c r="C100">
        <v>6.6580000000000004</v>
      </c>
      <c r="D100">
        <v>6.8979999999999997</v>
      </c>
      <c r="E100">
        <v>6.9320000000000004</v>
      </c>
      <c r="F100">
        <v>6.665</v>
      </c>
      <c r="G100" s="6">
        <v>-3.09E-2</v>
      </c>
    </row>
    <row r="101" spans="2:7" x14ac:dyDescent="0.35">
      <c r="B101" s="11">
        <v>42767</v>
      </c>
      <c r="C101">
        <v>6.87</v>
      </c>
      <c r="D101">
        <v>6.4029999999999996</v>
      </c>
      <c r="E101">
        <v>6.9530000000000003</v>
      </c>
      <c r="F101">
        <v>6.3760000000000003</v>
      </c>
      <c r="G101" s="6">
        <v>7.2300000000000003E-2</v>
      </c>
    </row>
    <row r="102" spans="2:7" x14ac:dyDescent="0.35">
      <c r="B102" s="11">
        <v>42736</v>
      </c>
      <c r="C102">
        <v>6.407</v>
      </c>
      <c r="D102">
        <v>6.4829999999999997</v>
      </c>
      <c r="E102">
        <v>6.4939999999999998</v>
      </c>
      <c r="F102">
        <v>6.2939999999999996</v>
      </c>
      <c r="G102" s="6">
        <v>-1.61E-2</v>
      </c>
    </row>
    <row r="103" spans="2:7" x14ac:dyDescent="0.35">
      <c r="B103" s="11">
        <v>42705</v>
      </c>
      <c r="C103">
        <v>6.5119999999999996</v>
      </c>
      <c r="D103">
        <v>6.2569999999999997</v>
      </c>
      <c r="E103">
        <v>6.62</v>
      </c>
      <c r="F103">
        <v>6.1689999999999996</v>
      </c>
      <c r="G103" s="6">
        <v>4.3099999999999999E-2</v>
      </c>
    </row>
    <row r="104" spans="2:7" x14ac:dyDescent="0.35">
      <c r="B104" s="11">
        <v>42675</v>
      </c>
      <c r="C104">
        <v>6.2430000000000003</v>
      </c>
      <c r="D104">
        <v>6.8730000000000002</v>
      </c>
      <c r="E104">
        <v>6.9290000000000003</v>
      </c>
      <c r="F104">
        <v>6.1130000000000004</v>
      </c>
      <c r="G104" s="6">
        <v>-9.3200000000000005E-2</v>
      </c>
    </row>
    <row r="105" spans="2:7" x14ac:dyDescent="0.35">
      <c r="B105" s="11">
        <v>42644</v>
      </c>
      <c r="C105">
        <v>6.8849999999999998</v>
      </c>
      <c r="D105">
        <v>6.9560000000000004</v>
      </c>
      <c r="E105">
        <v>6.9560000000000004</v>
      </c>
      <c r="F105">
        <v>6.7830000000000004</v>
      </c>
      <c r="G105" s="6">
        <v>-1.0500000000000001E-2</v>
      </c>
    </row>
    <row r="106" spans="2:7" x14ac:dyDescent="0.35">
      <c r="B106" s="11">
        <v>42614</v>
      </c>
      <c r="C106">
        <v>6.9580000000000002</v>
      </c>
      <c r="D106">
        <v>7.1040000000000001</v>
      </c>
      <c r="E106">
        <v>7.1260000000000003</v>
      </c>
      <c r="F106">
        <v>6.91</v>
      </c>
      <c r="G106" s="6">
        <v>-2.1399999999999999E-2</v>
      </c>
    </row>
    <row r="107" spans="2:7" x14ac:dyDescent="0.35">
      <c r="B107" s="11">
        <v>42583</v>
      </c>
      <c r="C107">
        <v>7.11</v>
      </c>
      <c r="D107">
        <v>7.1379999999999999</v>
      </c>
      <c r="E107">
        <v>7.2249999999999996</v>
      </c>
      <c r="F107">
        <v>7.0739999999999998</v>
      </c>
      <c r="G107" s="6">
        <v>-7.4000000000000003E-3</v>
      </c>
    </row>
    <row r="108" spans="2:7" x14ac:dyDescent="0.35">
      <c r="B108" s="11">
        <v>42552</v>
      </c>
      <c r="C108">
        <v>7.1630000000000003</v>
      </c>
      <c r="D108">
        <v>7.4409999999999998</v>
      </c>
      <c r="E108">
        <v>7.4409999999999998</v>
      </c>
      <c r="F108">
        <v>7.1609999999999996</v>
      </c>
      <c r="G108" s="6">
        <v>-3.8300000000000001E-2</v>
      </c>
    </row>
    <row r="109" spans="2:7" x14ac:dyDescent="0.35">
      <c r="B109" s="11">
        <v>42522</v>
      </c>
      <c r="C109">
        <v>7.4480000000000004</v>
      </c>
      <c r="D109">
        <v>7.4729999999999999</v>
      </c>
      <c r="E109">
        <v>7.5460000000000003</v>
      </c>
      <c r="F109">
        <v>7.4210000000000003</v>
      </c>
      <c r="G109" s="6">
        <v>-3.0999999999999999E-3</v>
      </c>
    </row>
    <row r="110" spans="2:7" x14ac:dyDescent="0.35">
      <c r="B110" s="11">
        <v>42491</v>
      </c>
      <c r="C110">
        <v>7.4710000000000001</v>
      </c>
      <c r="D110">
        <v>7.4390000000000001</v>
      </c>
      <c r="E110">
        <v>7.4989999999999997</v>
      </c>
      <c r="F110">
        <v>7.4189999999999996</v>
      </c>
      <c r="G110" s="6">
        <v>4.7999999999999996E-3</v>
      </c>
    </row>
    <row r="111" spans="2:7" x14ac:dyDescent="0.35">
      <c r="B111" s="11">
        <v>42461</v>
      </c>
      <c r="C111">
        <v>7.4349999999999996</v>
      </c>
      <c r="D111">
        <v>7.4509999999999996</v>
      </c>
      <c r="E111">
        <v>7.4960000000000004</v>
      </c>
      <c r="F111">
        <v>7.3529999999999998</v>
      </c>
      <c r="G111" s="6">
        <v>-3.2000000000000002E-3</v>
      </c>
    </row>
    <row r="112" spans="2:7" x14ac:dyDescent="0.35">
      <c r="B112" s="11">
        <v>42430</v>
      </c>
      <c r="C112">
        <v>7.4589999999999996</v>
      </c>
      <c r="D112">
        <v>7.63</v>
      </c>
      <c r="E112">
        <v>7.6719999999999997</v>
      </c>
      <c r="F112">
        <v>7.4530000000000003</v>
      </c>
      <c r="G112" s="6">
        <v>-2.1499999999999998E-2</v>
      </c>
    </row>
    <row r="113" spans="2:7" x14ac:dyDescent="0.35">
      <c r="B113" s="11">
        <v>42401</v>
      </c>
      <c r="C113">
        <v>7.6230000000000002</v>
      </c>
      <c r="D113">
        <v>7.7930000000000001</v>
      </c>
      <c r="E113">
        <v>7.8789999999999996</v>
      </c>
      <c r="F113">
        <v>7.617</v>
      </c>
      <c r="G113" s="6">
        <v>-2.01E-2</v>
      </c>
    </row>
    <row r="114" spans="2:7" x14ac:dyDescent="0.35">
      <c r="B114" s="11">
        <v>42370</v>
      </c>
      <c r="C114">
        <v>7.7789999999999999</v>
      </c>
      <c r="D114">
        <v>7.7539999999999996</v>
      </c>
      <c r="E114">
        <v>7.8319999999999999</v>
      </c>
      <c r="F114">
        <v>7.7069999999999999</v>
      </c>
      <c r="G114" s="6">
        <v>2.7000000000000001E-3</v>
      </c>
    </row>
    <row r="115" spans="2:7" x14ac:dyDescent="0.35">
      <c r="B115" s="11">
        <v>42339</v>
      </c>
      <c r="C115">
        <v>7.758</v>
      </c>
      <c r="D115">
        <v>7.7850000000000001</v>
      </c>
      <c r="E115">
        <v>7.8179999999999996</v>
      </c>
      <c r="F115">
        <v>7.6859999999999999</v>
      </c>
      <c r="G115" s="6">
        <v>-3.5999999999999999E-3</v>
      </c>
    </row>
    <row r="116" spans="2:7" x14ac:dyDescent="0.35">
      <c r="B116" s="11">
        <v>42309</v>
      </c>
      <c r="C116">
        <v>7.7859999999999996</v>
      </c>
      <c r="D116">
        <v>7.64</v>
      </c>
      <c r="E116">
        <v>7.7880000000000003</v>
      </c>
      <c r="F116">
        <v>7.61</v>
      </c>
      <c r="G116" s="6">
        <v>1.9099999999999999E-2</v>
      </c>
    </row>
    <row r="117" spans="2:7" x14ac:dyDescent="0.35">
      <c r="B117" s="11">
        <v>42278</v>
      </c>
      <c r="C117">
        <v>7.64</v>
      </c>
      <c r="D117">
        <v>7.5270000000000001</v>
      </c>
      <c r="E117">
        <v>7.6479999999999997</v>
      </c>
      <c r="F117">
        <v>7.4960000000000004</v>
      </c>
      <c r="G117" s="6">
        <v>1.34E-2</v>
      </c>
    </row>
    <row r="118" spans="2:7" x14ac:dyDescent="0.35">
      <c r="B118" s="11">
        <v>42248</v>
      </c>
      <c r="C118">
        <v>7.5389999999999997</v>
      </c>
      <c r="D118">
        <v>7.7930000000000001</v>
      </c>
      <c r="E118">
        <v>7.8029999999999999</v>
      </c>
      <c r="F118">
        <v>7.5270000000000001</v>
      </c>
      <c r="G118" s="6">
        <v>-3.15E-2</v>
      </c>
    </row>
    <row r="119" spans="2:7" x14ac:dyDescent="0.35">
      <c r="B119" s="11">
        <v>42217</v>
      </c>
      <c r="C119">
        <v>7.7839999999999998</v>
      </c>
      <c r="D119">
        <v>7.7880000000000003</v>
      </c>
      <c r="E119">
        <v>7.9109999999999996</v>
      </c>
      <c r="F119">
        <v>7.7119999999999997</v>
      </c>
      <c r="G119" s="6">
        <v>-2.8E-3</v>
      </c>
    </row>
    <row r="120" spans="2:7" x14ac:dyDescent="0.35">
      <c r="B120" s="11">
        <v>42186</v>
      </c>
      <c r="C120">
        <v>7.806</v>
      </c>
      <c r="D120">
        <v>7.8650000000000002</v>
      </c>
      <c r="E120">
        <v>7.9089999999999998</v>
      </c>
      <c r="F120">
        <v>7.7249999999999996</v>
      </c>
      <c r="G120" s="6">
        <v>-7.0000000000000001E-3</v>
      </c>
    </row>
    <row r="121" spans="2:7" x14ac:dyDescent="0.35">
      <c r="B121" s="11">
        <v>42156</v>
      </c>
      <c r="C121">
        <v>7.8609999999999998</v>
      </c>
      <c r="D121">
        <v>7.8150000000000004</v>
      </c>
      <c r="E121">
        <v>8.0169999999999995</v>
      </c>
      <c r="F121">
        <v>7.6890000000000001</v>
      </c>
      <c r="G121" s="6">
        <v>5.8999999999999999E-3</v>
      </c>
    </row>
    <row r="122" spans="2:7" x14ac:dyDescent="0.35">
      <c r="B122" s="11">
        <v>42125</v>
      </c>
      <c r="C122">
        <v>7.8150000000000004</v>
      </c>
      <c r="D122">
        <v>7.875</v>
      </c>
      <c r="E122">
        <v>8.0069999999999997</v>
      </c>
      <c r="F122">
        <v>7.8090000000000002</v>
      </c>
      <c r="G122" s="6">
        <v>-5.7000000000000002E-3</v>
      </c>
    </row>
    <row r="123" spans="2:7" x14ac:dyDescent="0.35">
      <c r="B123" s="11">
        <v>42095</v>
      </c>
      <c r="C123">
        <v>7.86</v>
      </c>
      <c r="D123">
        <v>7.7220000000000004</v>
      </c>
      <c r="E123">
        <v>7.8730000000000002</v>
      </c>
      <c r="F123">
        <v>7.7110000000000003</v>
      </c>
      <c r="G123" s="6">
        <v>1.5800000000000002E-2</v>
      </c>
    </row>
  </sheetData>
  <mergeCells count="1">
    <mergeCell ref="B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59BB-E96C-4131-A458-067A193E0B28}">
  <dimension ref="B1:I27"/>
  <sheetViews>
    <sheetView workbookViewId="0">
      <selection activeCell="H3" sqref="H3"/>
    </sheetView>
  </sheetViews>
  <sheetFormatPr defaultRowHeight="14.5" x14ac:dyDescent="0.35"/>
  <cols>
    <col min="2" max="2" width="12.08984375" customWidth="1"/>
    <col min="4" max="4" width="11.1796875" customWidth="1"/>
    <col min="9" max="9" width="10.36328125" bestFit="1" customWidth="1"/>
  </cols>
  <sheetData>
    <row r="1" spans="2:9" ht="18.5" x14ac:dyDescent="0.45">
      <c r="B1" s="64" t="s">
        <v>199</v>
      </c>
      <c r="C1" s="65"/>
      <c r="D1" s="66"/>
    </row>
    <row r="2" spans="2:9" x14ac:dyDescent="0.35">
      <c r="B2" s="13" t="s">
        <v>200</v>
      </c>
      <c r="C2" s="13" t="s">
        <v>201</v>
      </c>
      <c r="D2" s="13" t="s">
        <v>202</v>
      </c>
      <c r="G2" t="s">
        <v>204</v>
      </c>
    </row>
    <row r="3" spans="2:9" x14ac:dyDescent="0.35">
      <c r="B3" s="14">
        <v>2024</v>
      </c>
      <c r="C3" s="14">
        <v>35189.03</v>
      </c>
      <c r="D3" s="14">
        <f>(C3-C4)/C4</f>
        <v>0.14546579653570865</v>
      </c>
      <c r="G3" s="33" t="s">
        <v>205</v>
      </c>
      <c r="H3" s="33">
        <v>0.77</v>
      </c>
    </row>
    <row r="4" spans="2:9" x14ac:dyDescent="0.35">
      <c r="B4" s="14">
        <v>2023</v>
      </c>
      <c r="C4" s="14">
        <v>30720.28</v>
      </c>
      <c r="D4" s="14">
        <f>(C4-C5)/C5</f>
        <v>0.24849852351764506</v>
      </c>
      <c r="G4" s="33" t="s">
        <v>206</v>
      </c>
      <c r="H4" s="33">
        <v>0.73</v>
      </c>
    </row>
    <row r="5" spans="2:9" x14ac:dyDescent="0.35">
      <c r="B5" s="14">
        <v>2022</v>
      </c>
      <c r="C5" s="14">
        <v>24605.78</v>
      </c>
      <c r="D5" s="14">
        <f t="shared" ref="D5:D26" si="0">(C5-C6)/C6</f>
        <v>3.3378690521187637E-2</v>
      </c>
      <c r="G5" t="s">
        <v>207</v>
      </c>
    </row>
    <row r="6" spans="2:9" x14ac:dyDescent="0.35">
      <c r="B6" s="14">
        <v>2021</v>
      </c>
      <c r="C6" s="14">
        <v>23811</v>
      </c>
      <c r="D6" s="14">
        <f t="shared" si="0"/>
        <v>0.30114043092660708</v>
      </c>
    </row>
    <row r="7" spans="2:9" x14ac:dyDescent="0.35">
      <c r="B7" s="14">
        <v>2020</v>
      </c>
      <c r="C7" s="14">
        <v>18300.099999999999</v>
      </c>
      <c r="D7" s="14">
        <f t="shared" si="0"/>
        <v>0.16803383322355139</v>
      </c>
      <c r="G7" s="67" t="s">
        <v>203</v>
      </c>
      <c r="H7" s="67"/>
      <c r="I7" s="8">
        <f>AVERAGE(D3:D27)</f>
        <v>0.19864598550767656</v>
      </c>
    </row>
    <row r="8" spans="2:9" x14ac:dyDescent="0.35">
      <c r="B8" s="14">
        <v>2019</v>
      </c>
      <c r="C8" s="14">
        <v>15667.44</v>
      </c>
      <c r="D8" s="14">
        <f t="shared" si="0"/>
        <v>7.7511676096721008E-2</v>
      </c>
    </row>
    <row r="9" spans="2:9" x14ac:dyDescent="0.35">
      <c r="B9" s="14">
        <v>2018</v>
      </c>
      <c r="C9" s="14">
        <v>14540.39</v>
      </c>
      <c r="D9" s="14">
        <f t="shared" si="0"/>
        <v>-3.0817057962117572E-2</v>
      </c>
    </row>
    <row r="10" spans="2:9" x14ac:dyDescent="0.35">
      <c r="B10" s="14">
        <v>2017</v>
      </c>
      <c r="C10" s="14">
        <v>15002.73</v>
      </c>
      <c r="D10" s="14">
        <f t="shared" si="0"/>
        <v>0.35938128599439662</v>
      </c>
    </row>
    <row r="11" spans="2:9" x14ac:dyDescent="0.35">
      <c r="B11" s="14">
        <v>2016</v>
      </c>
      <c r="C11" s="14">
        <v>11036.44</v>
      </c>
      <c r="D11" s="14">
        <f t="shared" si="0"/>
        <v>3.7823178380737017E-2</v>
      </c>
    </row>
    <row r="12" spans="2:9" x14ac:dyDescent="0.35">
      <c r="B12" s="14">
        <v>2015</v>
      </c>
      <c r="C12" s="14">
        <v>10634.22</v>
      </c>
      <c r="D12" s="14">
        <f t="shared" si="0"/>
        <v>-8.1517531865521672E-3</v>
      </c>
    </row>
    <row r="13" spans="2:9" x14ac:dyDescent="0.35">
      <c r="B13" s="14">
        <v>2014</v>
      </c>
      <c r="C13" s="14">
        <v>10721.62</v>
      </c>
      <c r="D13" s="14">
        <f t="shared" si="0"/>
        <v>0.36959048789398524</v>
      </c>
    </row>
    <row r="14" spans="2:9" x14ac:dyDescent="0.35">
      <c r="B14" s="14">
        <v>2013</v>
      </c>
      <c r="C14" s="14">
        <v>7828.34</v>
      </c>
      <c r="D14" s="14">
        <f t="shared" si="0"/>
        <v>3.2548667360454427E-2</v>
      </c>
    </row>
    <row r="15" spans="2:9" x14ac:dyDescent="0.35">
      <c r="B15" s="14">
        <v>2012</v>
      </c>
      <c r="C15" s="14">
        <v>7581.57</v>
      </c>
      <c r="D15" s="14">
        <f t="shared" si="0"/>
        <v>0.31198993541777698</v>
      </c>
    </row>
    <row r="16" spans="2:9" x14ac:dyDescent="0.35">
      <c r="B16" s="14">
        <v>2011</v>
      </c>
      <c r="C16" s="14">
        <v>5778.68</v>
      </c>
      <c r="D16" s="14">
        <f t="shared" si="0"/>
        <v>-0.2741318367152113</v>
      </c>
    </row>
    <row r="17" spans="2:4" x14ac:dyDescent="0.35">
      <c r="B17" s="14">
        <v>2010</v>
      </c>
      <c r="C17" s="14">
        <v>7961.06</v>
      </c>
      <c r="D17" s="14">
        <f t="shared" si="0"/>
        <v>0.16351492564580369</v>
      </c>
    </row>
    <row r="18" spans="2:4" x14ac:dyDescent="0.35">
      <c r="B18" s="14">
        <v>2009</v>
      </c>
      <c r="C18" s="14">
        <v>6842.25</v>
      </c>
      <c r="D18" s="14">
        <f t="shared" si="0"/>
        <v>0.90228950331540103</v>
      </c>
    </row>
    <row r="19" spans="2:4" x14ac:dyDescent="0.35">
      <c r="B19" s="14">
        <v>2008</v>
      </c>
      <c r="C19" s="14">
        <v>3596.85</v>
      </c>
      <c r="D19" s="14">
        <f t="shared" si="0"/>
        <v>-0.58139315653429824</v>
      </c>
    </row>
    <row r="20" spans="2:4" x14ac:dyDescent="0.35">
      <c r="B20" s="14">
        <v>2007</v>
      </c>
      <c r="C20" s="14">
        <v>8592.43</v>
      </c>
      <c r="D20" s="14">
        <f t="shared" si="0"/>
        <v>0.63020702896735958</v>
      </c>
    </row>
    <row r="21" spans="2:4" x14ac:dyDescent="0.35">
      <c r="B21" s="14">
        <v>2006</v>
      </c>
      <c r="C21" s="14">
        <v>5270.76</v>
      </c>
      <c r="D21" s="14">
        <f t="shared" si="0"/>
        <v>0.38851831947649612</v>
      </c>
    </row>
    <row r="22" spans="2:4" x14ac:dyDescent="0.35">
      <c r="B22" s="14">
        <v>2005</v>
      </c>
      <c r="C22" s="14">
        <v>3795.96</v>
      </c>
      <c r="D22" s="14">
        <f t="shared" si="0"/>
        <v>0.36562516863633909</v>
      </c>
    </row>
    <row r="23" spans="2:4" x14ac:dyDescent="0.35">
      <c r="B23" s="14">
        <v>2004</v>
      </c>
      <c r="C23" s="14">
        <v>2779.65</v>
      </c>
      <c r="D23" s="14">
        <f t="shared" si="0"/>
        <v>0.17465220845518009</v>
      </c>
    </row>
    <row r="24" spans="2:4" x14ac:dyDescent="0.35">
      <c r="B24" s="14">
        <v>2003</v>
      </c>
      <c r="C24" s="14">
        <v>2366.36</v>
      </c>
      <c r="D24" s="14">
        <f t="shared" si="0"/>
        <v>1.0109625827505035</v>
      </c>
    </row>
    <row r="25" spans="2:4" x14ac:dyDescent="0.35">
      <c r="B25" s="14">
        <v>2002</v>
      </c>
      <c r="C25" s="14">
        <v>1176.73</v>
      </c>
      <c r="D25" s="14">
        <f t="shared" si="0"/>
        <v>0.16992105943409352</v>
      </c>
    </row>
    <row r="26" spans="2:4" x14ac:dyDescent="0.35">
      <c r="B26" s="14">
        <v>2001</v>
      </c>
      <c r="C26" s="14">
        <v>1005.82</v>
      </c>
      <c r="D26" s="14">
        <f t="shared" si="0"/>
        <v>-0.22905584596753178</v>
      </c>
    </row>
    <row r="27" spans="2:4" x14ac:dyDescent="0.35">
      <c r="B27" s="14">
        <v>2000</v>
      </c>
      <c r="C27" s="14">
        <v>1304.6600000000001</v>
      </c>
      <c r="D27" s="14"/>
    </row>
  </sheetData>
  <mergeCells count="2">
    <mergeCell ref="B1:D1"/>
    <mergeCell ref="G7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C49D-86C4-4768-9522-AD05826EF259}">
  <dimension ref="A1:F55"/>
  <sheetViews>
    <sheetView topLeftCell="A16" zoomScale="95" zoomScaleNormal="95" workbookViewId="0">
      <selection activeCell="H27" sqref="H27"/>
    </sheetView>
  </sheetViews>
  <sheetFormatPr defaultRowHeight="14.5" x14ac:dyDescent="0.35"/>
  <cols>
    <col min="1" max="1" width="47.26953125" bestFit="1" customWidth="1"/>
  </cols>
  <sheetData>
    <row r="1" spans="1:6" x14ac:dyDescent="0.35">
      <c r="A1" s="3" t="s">
        <v>1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 x14ac:dyDescent="0.35">
      <c r="A2" t="s">
        <v>20</v>
      </c>
    </row>
    <row r="3" spans="1:6" x14ac:dyDescent="0.35">
      <c r="A3" s="1" t="s">
        <v>21</v>
      </c>
    </row>
    <row r="4" spans="1:6" x14ac:dyDescent="0.35">
      <c r="A4" t="s">
        <v>22</v>
      </c>
      <c r="B4">
        <v>289.37</v>
      </c>
      <c r="C4">
        <v>289.37</v>
      </c>
      <c r="D4">
        <v>282.95999999999998</v>
      </c>
      <c r="E4">
        <v>279.18</v>
      </c>
      <c r="F4">
        <v>279.26</v>
      </c>
    </row>
    <row r="5" spans="1:6" x14ac:dyDescent="0.35">
      <c r="A5" t="s">
        <v>23</v>
      </c>
      <c r="B5">
        <v>16.91</v>
      </c>
      <c r="C5">
        <v>32.270000000000003</v>
      </c>
      <c r="D5">
        <v>62.09</v>
      </c>
      <c r="E5">
        <v>102.46</v>
      </c>
      <c r="F5">
        <v>99.44</v>
      </c>
    </row>
    <row r="6" spans="1:6" x14ac:dyDescent="0.35">
      <c r="A6" t="s">
        <v>24</v>
      </c>
      <c r="B6">
        <v>24895.98</v>
      </c>
      <c r="C6">
        <v>26347.16</v>
      </c>
      <c r="D6">
        <v>25080.81</v>
      </c>
      <c r="E6">
        <v>24478.86</v>
      </c>
      <c r="F6">
        <v>31768.240000000002</v>
      </c>
    </row>
    <row r="7" spans="1:6" x14ac:dyDescent="0.35">
      <c r="A7" s="2" t="s">
        <v>25</v>
      </c>
      <c r="B7">
        <v>25202.26</v>
      </c>
      <c r="C7">
        <v>26668.799999999999</v>
      </c>
      <c r="D7">
        <v>25425.86</v>
      </c>
      <c r="E7">
        <v>24860.5</v>
      </c>
      <c r="F7">
        <v>32146.94</v>
      </c>
    </row>
    <row r="8" spans="1:6" x14ac:dyDescent="0.35">
      <c r="A8" s="1" t="s">
        <v>26</v>
      </c>
    </row>
    <row r="9" spans="1:6" x14ac:dyDescent="0.35">
      <c r="A9" t="s">
        <v>27</v>
      </c>
    </row>
    <row r="10" spans="1:6" x14ac:dyDescent="0.35">
      <c r="A10" s="2" t="s">
        <v>28</v>
      </c>
      <c r="B10">
        <v>121.46</v>
      </c>
      <c r="C10">
        <v>122.77</v>
      </c>
      <c r="D10">
        <v>124.23</v>
      </c>
      <c r="E10">
        <v>125.84</v>
      </c>
      <c r="F10">
        <v>127.64</v>
      </c>
    </row>
    <row r="11" spans="1:6" x14ac:dyDescent="0.35">
      <c r="A11" t="s">
        <v>29</v>
      </c>
      <c r="B11">
        <v>522.14</v>
      </c>
      <c r="C11">
        <v>403.33</v>
      </c>
      <c r="D11">
        <v>345.15</v>
      </c>
      <c r="E11">
        <v>506.94</v>
      </c>
      <c r="F11">
        <v>1123.03</v>
      </c>
    </row>
    <row r="12" spans="1:6" x14ac:dyDescent="0.35">
      <c r="A12" t="s">
        <v>30</v>
      </c>
      <c r="B12">
        <v>39.15</v>
      </c>
      <c r="C12">
        <v>36.299999999999997</v>
      </c>
      <c r="D12">
        <v>33.54</v>
      </c>
      <c r="E12">
        <v>30.83</v>
      </c>
      <c r="F12">
        <v>28.09</v>
      </c>
    </row>
    <row r="13" spans="1:6" x14ac:dyDescent="0.35">
      <c r="A13" t="s">
        <v>31</v>
      </c>
    </row>
    <row r="14" spans="1:6" x14ac:dyDescent="0.35">
      <c r="A14" t="s">
        <v>32</v>
      </c>
      <c r="B14">
        <v>1.98</v>
      </c>
      <c r="C14">
        <v>1.3</v>
      </c>
      <c r="D14">
        <v>0.87</v>
      </c>
      <c r="E14">
        <v>0.84</v>
      </c>
      <c r="F14">
        <v>0.45</v>
      </c>
    </row>
    <row r="15" spans="1:6" x14ac:dyDescent="0.35">
      <c r="A15" t="s">
        <v>33</v>
      </c>
      <c r="B15">
        <v>684.73</v>
      </c>
      <c r="C15">
        <v>563.70000000000005</v>
      </c>
      <c r="D15">
        <v>503.79</v>
      </c>
      <c r="E15">
        <v>664.45</v>
      </c>
      <c r="F15">
        <v>1279.21</v>
      </c>
    </row>
    <row r="16" spans="1:6" x14ac:dyDescent="0.35">
      <c r="A16" s="1" t="s">
        <v>34</v>
      </c>
    </row>
    <row r="17" spans="1:6" x14ac:dyDescent="0.35">
      <c r="A17" s="2" t="s">
        <v>35</v>
      </c>
      <c r="B17">
        <v>4573.8100000000004</v>
      </c>
      <c r="C17">
        <v>3633.18</v>
      </c>
      <c r="D17">
        <v>4073.88</v>
      </c>
      <c r="E17">
        <v>5593.61</v>
      </c>
      <c r="F17">
        <v>6267.63</v>
      </c>
    </row>
    <row r="18" spans="1:6" x14ac:dyDescent="0.35">
      <c r="A18" s="2" t="s">
        <v>36</v>
      </c>
      <c r="B18">
        <v>892.88</v>
      </c>
      <c r="C18">
        <v>878.36</v>
      </c>
      <c r="D18">
        <v>934.47</v>
      </c>
      <c r="E18">
        <v>2083.4</v>
      </c>
      <c r="F18">
        <v>1455.46</v>
      </c>
    </row>
    <row r="19" spans="1:6" x14ac:dyDescent="0.35">
      <c r="A19" s="2" t="s">
        <v>37</v>
      </c>
      <c r="E19">
        <v>834.05</v>
      </c>
      <c r="F19">
        <v>800</v>
      </c>
    </row>
    <row r="20" spans="1:6" x14ac:dyDescent="0.35">
      <c r="A20" t="s">
        <v>38</v>
      </c>
      <c r="B20">
        <v>176.52</v>
      </c>
      <c r="C20">
        <v>177.9</v>
      </c>
      <c r="D20">
        <v>189.69</v>
      </c>
      <c r="E20">
        <v>222.82</v>
      </c>
      <c r="F20">
        <v>479.66</v>
      </c>
    </row>
    <row r="21" spans="1:6" x14ac:dyDescent="0.35">
      <c r="A21" t="s">
        <v>39</v>
      </c>
      <c r="B21">
        <v>5643.21</v>
      </c>
      <c r="C21">
        <v>4689.4399999999996</v>
      </c>
      <c r="D21">
        <v>5198.04</v>
      </c>
      <c r="E21">
        <v>8733.8799999999992</v>
      </c>
      <c r="F21">
        <v>9002.75</v>
      </c>
    </row>
    <row r="22" spans="1:6" x14ac:dyDescent="0.35">
      <c r="A22" t="s">
        <v>40</v>
      </c>
    </row>
    <row r="23" spans="1:6" x14ac:dyDescent="0.35">
      <c r="A23" t="s">
        <v>41</v>
      </c>
      <c r="B23">
        <v>31530.2</v>
      </c>
      <c r="C23">
        <v>31921.94</v>
      </c>
      <c r="D23">
        <v>31127.69</v>
      </c>
      <c r="E23">
        <v>34258.83</v>
      </c>
      <c r="F23">
        <v>42428.9</v>
      </c>
    </row>
    <row r="24" spans="1:6" x14ac:dyDescent="0.35">
      <c r="A24" s="1" t="s">
        <v>42</v>
      </c>
    </row>
    <row r="25" spans="1:6" x14ac:dyDescent="0.35">
      <c r="A25" s="1" t="s">
        <v>43</v>
      </c>
    </row>
    <row r="26" spans="1:6" x14ac:dyDescent="0.35">
      <c r="A26" t="s">
        <v>44</v>
      </c>
      <c r="B26">
        <v>4274.6400000000003</v>
      </c>
      <c r="C26">
        <v>4561.5600000000004</v>
      </c>
      <c r="D26">
        <v>5434.8</v>
      </c>
      <c r="E26">
        <v>6162.88</v>
      </c>
      <c r="F26">
        <v>6882.07</v>
      </c>
    </row>
    <row r="27" spans="1:6" x14ac:dyDescent="0.35">
      <c r="A27" t="s">
        <v>45</v>
      </c>
      <c r="B27">
        <v>2662.01</v>
      </c>
      <c r="C27">
        <v>2778.67</v>
      </c>
      <c r="D27">
        <v>2768.81</v>
      </c>
      <c r="E27">
        <v>3013.12</v>
      </c>
      <c r="F27">
        <v>3379.09</v>
      </c>
    </row>
    <row r="28" spans="1:6" x14ac:dyDescent="0.35">
      <c r="A28" t="s">
        <v>46</v>
      </c>
    </row>
    <row r="29" spans="1:6" x14ac:dyDescent="0.35">
      <c r="A29" s="2" t="s">
        <v>47</v>
      </c>
      <c r="B29">
        <v>1612.63</v>
      </c>
      <c r="C29">
        <v>1782.89</v>
      </c>
      <c r="D29">
        <v>2665.99</v>
      </c>
      <c r="E29">
        <v>3149.76</v>
      </c>
      <c r="F29">
        <v>3502.98</v>
      </c>
    </row>
    <row r="30" spans="1:6" x14ac:dyDescent="0.35">
      <c r="A30" t="s">
        <v>48</v>
      </c>
    </row>
    <row r="31" spans="1:6" x14ac:dyDescent="0.35">
      <c r="A31" t="s">
        <v>49</v>
      </c>
      <c r="B31">
        <v>15.98</v>
      </c>
      <c r="C31">
        <v>76.819999999999993</v>
      </c>
      <c r="D31">
        <v>81.92</v>
      </c>
      <c r="E31">
        <v>24.29</v>
      </c>
      <c r="F31">
        <v>26.02</v>
      </c>
    </row>
    <row r="32" spans="1:6" x14ac:dyDescent="0.35">
      <c r="A32" t="s">
        <v>50</v>
      </c>
      <c r="E32">
        <v>3.2</v>
      </c>
      <c r="F32">
        <v>2.2400000000000002</v>
      </c>
    </row>
    <row r="33" spans="1:6" x14ac:dyDescent="0.35">
      <c r="A33" t="s">
        <v>51</v>
      </c>
    </row>
    <row r="34" spans="1:6" x14ac:dyDescent="0.35">
      <c r="A34" t="s">
        <v>52</v>
      </c>
      <c r="B34">
        <v>52.3</v>
      </c>
      <c r="C34">
        <v>51.13</v>
      </c>
      <c r="D34">
        <v>50.02</v>
      </c>
      <c r="E34">
        <v>48.9</v>
      </c>
      <c r="F34">
        <v>47.78</v>
      </c>
    </row>
    <row r="35" spans="1:6" x14ac:dyDescent="0.35">
      <c r="A35" t="s">
        <v>53</v>
      </c>
      <c r="B35">
        <v>14602.84</v>
      </c>
      <c r="C35">
        <v>18849.63</v>
      </c>
      <c r="D35">
        <v>18503.96</v>
      </c>
      <c r="E35">
        <v>19613.02</v>
      </c>
      <c r="F35">
        <v>22986.78</v>
      </c>
    </row>
    <row r="36" spans="1:6" x14ac:dyDescent="0.35">
      <c r="A36" t="s">
        <v>54</v>
      </c>
      <c r="B36">
        <v>1054.77</v>
      </c>
      <c r="C36">
        <v>1119.52</v>
      </c>
      <c r="D36">
        <v>954.35</v>
      </c>
      <c r="E36">
        <v>1035.19</v>
      </c>
      <c r="F36">
        <v>2416.91</v>
      </c>
    </row>
    <row r="37" spans="1:6" x14ac:dyDescent="0.35">
      <c r="A37" t="s">
        <v>55</v>
      </c>
      <c r="B37">
        <v>16.55</v>
      </c>
      <c r="C37">
        <v>47.48</v>
      </c>
      <c r="D37">
        <v>1.05</v>
      </c>
      <c r="E37">
        <v>19.11</v>
      </c>
      <c r="F37">
        <v>18.88</v>
      </c>
    </row>
    <row r="38" spans="1:6" x14ac:dyDescent="0.35">
      <c r="A38" t="s">
        <v>56</v>
      </c>
      <c r="B38">
        <v>17355.07</v>
      </c>
      <c r="C38">
        <v>21927.47</v>
      </c>
      <c r="D38">
        <v>22257.29</v>
      </c>
      <c r="E38">
        <v>23893.47</v>
      </c>
      <c r="F38">
        <v>29001.59</v>
      </c>
    </row>
    <row r="39" spans="1:6" x14ac:dyDescent="0.35">
      <c r="A39" s="1" t="s">
        <v>57</v>
      </c>
    </row>
    <row r="40" spans="1:6" x14ac:dyDescent="0.35">
      <c r="A40" t="s">
        <v>58</v>
      </c>
      <c r="B40">
        <v>8028.11</v>
      </c>
      <c r="C40">
        <v>4969.13</v>
      </c>
      <c r="D40">
        <v>4419.37</v>
      </c>
      <c r="E40">
        <v>3837.98</v>
      </c>
      <c r="F40">
        <v>5583.45</v>
      </c>
    </row>
    <row r="41" spans="1:6" x14ac:dyDescent="0.35">
      <c r="A41" s="2" t="s">
        <v>59</v>
      </c>
      <c r="B41">
        <v>1493.89</v>
      </c>
      <c r="C41">
        <v>1230.51</v>
      </c>
      <c r="D41">
        <v>1397.9</v>
      </c>
      <c r="E41">
        <v>1695.62</v>
      </c>
      <c r="F41">
        <v>1957.9</v>
      </c>
    </row>
    <row r="42" spans="1:6" x14ac:dyDescent="0.35">
      <c r="A42" s="2" t="s">
        <v>60</v>
      </c>
      <c r="B42">
        <v>2716.85</v>
      </c>
      <c r="C42">
        <v>1516.38</v>
      </c>
      <c r="D42">
        <v>1776.12</v>
      </c>
      <c r="E42">
        <v>2122.4</v>
      </c>
      <c r="F42">
        <v>2282.64</v>
      </c>
    </row>
    <row r="43" spans="1:6" x14ac:dyDescent="0.35">
      <c r="A43" t="s">
        <v>61</v>
      </c>
      <c r="B43">
        <v>527.36</v>
      </c>
      <c r="C43">
        <v>588.34</v>
      </c>
      <c r="D43">
        <v>285.75</v>
      </c>
      <c r="E43">
        <v>1578.12</v>
      </c>
      <c r="F43">
        <v>1328.55</v>
      </c>
    </row>
    <row r="44" spans="1:6" x14ac:dyDescent="0.35">
      <c r="A44" s="2" t="s">
        <v>62</v>
      </c>
      <c r="B44">
        <v>233.32</v>
      </c>
      <c r="C44">
        <v>883.94</v>
      </c>
      <c r="D44">
        <v>576.83000000000004</v>
      </c>
      <c r="E44">
        <v>531.88</v>
      </c>
      <c r="F44">
        <v>1234.7</v>
      </c>
    </row>
    <row r="45" spans="1:6" x14ac:dyDescent="0.35">
      <c r="A45" t="s">
        <v>63</v>
      </c>
      <c r="B45">
        <v>1175.5999999999999</v>
      </c>
      <c r="C45">
        <v>806.17</v>
      </c>
      <c r="D45">
        <v>414.43</v>
      </c>
      <c r="E45">
        <v>599.36</v>
      </c>
      <c r="F45">
        <v>1040.07</v>
      </c>
    </row>
    <row r="46" spans="1:6" x14ac:dyDescent="0.35">
      <c r="A46" t="s">
        <v>64</v>
      </c>
      <c r="B46">
        <v>14175.13</v>
      </c>
      <c r="C46">
        <v>9994.4699999999993</v>
      </c>
      <c r="D46">
        <v>8870.4</v>
      </c>
      <c r="E46">
        <v>10365.36</v>
      </c>
      <c r="F46">
        <v>13427.31</v>
      </c>
    </row>
    <row r="47" spans="1:6" x14ac:dyDescent="0.35">
      <c r="A47" t="s">
        <v>65</v>
      </c>
    </row>
    <row r="48" spans="1:6" x14ac:dyDescent="0.35">
      <c r="A48" t="s">
        <v>66</v>
      </c>
      <c r="B48">
        <v>8531.92</v>
      </c>
      <c r="C48">
        <v>5305.03</v>
      </c>
      <c r="D48">
        <v>3672.36</v>
      </c>
      <c r="E48">
        <v>1631.48</v>
      </c>
      <c r="F48">
        <v>4424.5600000000004</v>
      </c>
    </row>
    <row r="49" spans="1:6" x14ac:dyDescent="0.35">
      <c r="A49" t="s">
        <v>67</v>
      </c>
      <c r="B49">
        <v>6147.02</v>
      </c>
      <c r="C49">
        <v>5025.34</v>
      </c>
      <c r="D49">
        <v>4451.03</v>
      </c>
      <c r="E49">
        <v>6527.38</v>
      </c>
      <c r="F49">
        <v>7843.86</v>
      </c>
    </row>
    <row r="50" spans="1:6" x14ac:dyDescent="0.35">
      <c r="A50" t="s">
        <v>68</v>
      </c>
    </row>
    <row r="51" spans="1:6" x14ac:dyDescent="0.35">
      <c r="A51" t="s">
        <v>69</v>
      </c>
      <c r="B51">
        <v>31530.2</v>
      </c>
      <c r="C51">
        <v>31921.94</v>
      </c>
      <c r="D51">
        <v>31127.69</v>
      </c>
      <c r="E51">
        <v>34258.83</v>
      </c>
      <c r="F51">
        <v>42428.9</v>
      </c>
    </row>
    <row r="52" spans="1:6" x14ac:dyDescent="0.35">
      <c r="A52" t="s">
        <v>70</v>
      </c>
      <c r="B52">
        <v>1564.28</v>
      </c>
      <c r="C52">
        <v>1583.38</v>
      </c>
      <c r="D52">
        <v>1615.25</v>
      </c>
      <c r="E52">
        <v>1622.93</v>
      </c>
      <c r="F52">
        <v>2033.84</v>
      </c>
    </row>
    <row r="53" spans="1:6" x14ac:dyDescent="0.35">
      <c r="A53" s="2" t="s">
        <v>71</v>
      </c>
      <c r="B53">
        <v>121.46</v>
      </c>
      <c r="C53">
        <v>122.77</v>
      </c>
      <c r="D53">
        <v>124.23</v>
      </c>
      <c r="E53">
        <v>959.89</v>
      </c>
      <c r="F53">
        <v>927.64</v>
      </c>
    </row>
    <row r="54" spans="1:6" x14ac:dyDescent="0.35">
      <c r="A54" t="s">
        <v>72</v>
      </c>
      <c r="B54">
        <v>870.35</v>
      </c>
      <c r="C54">
        <v>920.5</v>
      </c>
      <c r="D54">
        <v>896.37</v>
      </c>
      <c r="E54">
        <v>886.81</v>
      </c>
      <c r="F54">
        <v>1147.5899999999999</v>
      </c>
    </row>
    <row r="55" spans="1:6" x14ac:dyDescent="0.35">
      <c r="A55" t="s">
        <v>73</v>
      </c>
      <c r="B55">
        <v>870.35</v>
      </c>
      <c r="C55">
        <v>920.5</v>
      </c>
      <c r="D55">
        <v>896.37</v>
      </c>
      <c r="E55">
        <v>886.81</v>
      </c>
      <c r="F55">
        <v>1147.5899999999999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A4A9-2AD7-4076-B85D-0443CD86D3F3}">
  <dimension ref="A1:F45"/>
  <sheetViews>
    <sheetView zoomScale="94" zoomScaleNormal="94" workbookViewId="0">
      <selection activeCell="F24" sqref="F24"/>
    </sheetView>
  </sheetViews>
  <sheetFormatPr defaultRowHeight="14.5" x14ac:dyDescent="0.35"/>
  <cols>
    <col min="1" max="1" width="41" bestFit="1" customWidth="1"/>
  </cols>
  <sheetData>
    <row r="1" spans="1:6" x14ac:dyDescent="0.35">
      <c r="A1" s="3" t="s">
        <v>1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 x14ac:dyDescent="0.35">
      <c r="A2" t="s">
        <v>20</v>
      </c>
    </row>
    <row r="3" spans="1:6" x14ac:dyDescent="0.35">
      <c r="A3" t="s">
        <v>75</v>
      </c>
      <c r="B3">
        <v>12</v>
      </c>
      <c r="C3">
        <v>12</v>
      </c>
      <c r="D3">
        <v>12</v>
      </c>
      <c r="E3">
        <v>12</v>
      </c>
      <c r="F3">
        <v>12</v>
      </c>
    </row>
    <row r="4" spans="1:6" x14ac:dyDescent="0.35">
      <c r="A4" s="1" t="s">
        <v>76</v>
      </c>
    </row>
    <row r="5" spans="1:6" x14ac:dyDescent="0.35">
      <c r="A5" t="s">
        <v>77</v>
      </c>
      <c r="B5">
        <v>27925.02</v>
      </c>
      <c r="C5">
        <v>33387.61</v>
      </c>
      <c r="D5">
        <v>36737.22</v>
      </c>
      <c r="E5">
        <v>45056.43</v>
      </c>
      <c r="F5">
        <v>50378.559999999998</v>
      </c>
    </row>
    <row r="6" spans="1:6" x14ac:dyDescent="0.35">
      <c r="A6" t="s">
        <v>78</v>
      </c>
    </row>
    <row r="7" spans="1:6" x14ac:dyDescent="0.35">
      <c r="A7" t="s">
        <v>79</v>
      </c>
      <c r="B7">
        <v>183.94</v>
      </c>
      <c r="C7">
        <v>242.9</v>
      </c>
      <c r="D7">
        <v>309.62</v>
      </c>
      <c r="E7">
        <v>371.2</v>
      </c>
      <c r="F7">
        <v>368.25</v>
      </c>
    </row>
    <row r="8" spans="1:6" x14ac:dyDescent="0.35">
      <c r="A8" t="s">
        <v>80</v>
      </c>
    </row>
    <row r="9" spans="1:6" x14ac:dyDescent="0.35">
      <c r="A9" t="s">
        <v>81</v>
      </c>
      <c r="B9">
        <v>27741.08</v>
      </c>
      <c r="C9">
        <v>33144.71</v>
      </c>
      <c r="D9">
        <v>36427.599999999999</v>
      </c>
      <c r="E9">
        <v>44685.23</v>
      </c>
      <c r="F9">
        <v>50010.31</v>
      </c>
    </row>
    <row r="10" spans="1:6" x14ac:dyDescent="0.35">
      <c r="A10" s="1" t="s">
        <v>82</v>
      </c>
    </row>
    <row r="11" spans="1:6" x14ac:dyDescent="0.35">
      <c r="A11" t="s">
        <v>83</v>
      </c>
      <c r="B11">
        <v>-219.48</v>
      </c>
      <c r="C11">
        <v>187.96</v>
      </c>
      <c r="D11">
        <v>-98.11</v>
      </c>
      <c r="E11">
        <v>-70.45</v>
      </c>
      <c r="F11">
        <v>35.18</v>
      </c>
    </row>
    <row r="12" spans="1:6" x14ac:dyDescent="0.35">
      <c r="A12" t="s">
        <v>84</v>
      </c>
      <c r="B12">
        <v>19829.13</v>
      </c>
      <c r="C12">
        <v>24141.86</v>
      </c>
      <c r="D12">
        <v>26152.86</v>
      </c>
      <c r="E12">
        <v>31813.89</v>
      </c>
      <c r="F12">
        <v>35302.26</v>
      </c>
    </row>
    <row r="13" spans="1:6" x14ac:dyDescent="0.35">
      <c r="A13" t="s">
        <v>85</v>
      </c>
      <c r="B13">
        <v>91.34</v>
      </c>
      <c r="C13">
        <v>108.01</v>
      </c>
      <c r="D13">
        <v>122.51</v>
      </c>
      <c r="E13">
        <v>147.80000000000001</v>
      </c>
      <c r="F13">
        <v>176.94</v>
      </c>
    </row>
    <row r="14" spans="1:6" x14ac:dyDescent="0.35">
      <c r="A14" t="s">
        <v>86</v>
      </c>
      <c r="B14">
        <v>1285.96</v>
      </c>
      <c r="C14">
        <v>1358.8</v>
      </c>
      <c r="D14">
        <v>1444.9</v>
      </c>
      <c r="E14">
        <v>1537.56</v>
      </c>
      <c r="F14">
        <v>1579.44</v>
      </c>
    </row>
    <row r="15" spans="1:6" x14ac:dyDescent="0.35">
      <c r="A15" t="s">
        <v>87</v>
      </c>
      <c r="B15">
        <v>700.77</v>
      </c>
      <c r="C15">
        <v>939.67</v>
      </c>
      <c r="D15">
        <v>900.44</v>
      </c>
      <c r="E15">
        <v>932.97</v>
      </c>
      <c r="F15">
        <v>1101.24</v>
      </c>
    </row>
    <row r="16" spans="1:6" x14ac:dyDescent="0.35">
      <c r="A16" s="2" t="s">
        <v>88</v>
      </c>
      <c r="B16">
        <v>62.87</v>
      </c>
      <c r="C16">
        <v>61.57</v>
      </c>
      <c r="D16">
        <v>89.77</v>
      </c>
      <c r="E16">
        <v>107.51</v>
      </c>
      <c r="F16">
        <v>117.62</v>
      </c>
    </row>
    <row r="17" spans="1:6" x14ac:dyDescent="0.35">
      <c r="A17" s="2" t="s">
        <v>89</v>
      </c>
      <c r="B17">
        <v>494.81</v>
      </c>
      <c r="C17">
        <v>480.91</v>
      </c>
      <c r="D17">
        <v>584.53</v>
      </c>
      <c r="E17">
        <v>654.22</v>
      </c>
      <c r="F17">
        <v>739.62</v>
      </c>
    </row>
    <row r="18" spans="1:6" x14ac:dyDescent="0.35">
      <c r="A18" t="s">
        <v>90</v>
      </c>
      <c r="B18">
        <v>585.04</v>
      </c>
      <c r="C18">
        <v>642.71</v>
      </c>
      <c r="D18">
        <v>711.38</v>
      </c>
      <c r="E18">
        <v>826.8</v>
      </c>
      <c r="F18">
        <v>913.84</v>
      </c>
    </row>
    <row r="19" spans="1:6" x14ac:dyDescent="0.35">
      <c r="A19" t="s">
        <v>91</v>
      </c>
      <c r="B19">
        <v>12.27</v>
      </c>
      <c r="C19">
        <v>13.31</v>
      </c>
      <c r="D19">
        <v>27.82</v>
      </c>
      <c r="E19">
        <v>47.53</v>
      </c>
      <c r="F19">
        <v>49.67</v>
      </c>
    </row>
    <row r="20" spans="1:6" x14ac:dyDescent="0.35">
      <c r="A20" t="s">
        <v>92</v>
      </c>
      <c r="B20">
        <v>22818.17</v>
      </c>
      <c r="C20">
        <v>27908.18</v>
      </c>
      <c r="D20">
        <v>29880.46</v>
      </c>
      <c r="E20">
        <v>35902.769999999997</v>
      </c>
      <c r="F20">
        <v>39916.47</v>
      </c>
    </row>
    <row r="21" spans="1:6" x14ac:dyDescent="0.35">
      <c r="A21" t="s">
        <v>93</v>
      </c>
      <c r="B21">
        <v>4922.91</v>
      </c>
      <c r="C21">
        <v>5236.53</v>
      </c>
      <c r="D21">
        <v>6547.14</v>
      </c>
      <c r="E21">
        <v>8782.4599999999991</v>
      </c>
      <c r="F21">
        <v>10093.84</v>
      </c>
    </row>
    <row r="22" spans="1:6" x14ac:dyDescent="0.35">
      <c r="A22" t="s">
        <v>94</v>
      </c>
      <c r="B22">
        <v>1282.03</v>
      </c>
      <c r="C22">
        <v>1231.3499999999999</v>
      </c>
      <c r="D22">
        <v>1183.42</v>
      </c>
      <c r="E22">
        <v>1442.89</v>
      </c>
      <c r="F22">
        <v>1425.86</v>
      </c>
    </row>
    <row r="23" spans="1:6" x14ac:dyDescent="0.35">
      <c r="A23" t="s">
        <v>95</v>
      </c>
      <c r="B23">
        <v>6204.94</v>
      </c>
      <c r="C23">
        <v>6467.88</v>
      </c>
      <c r="D23">
        <v>7730.56</v>
      </c>
      <c r="E23">
        <v>10225.35</v>
      </c>
      <c r="F23">
        <v>11519.7</v>
      </c>
    </row>
    <row r="24" spans="1:6" x14ac:dyDescent="0.35">
      <c r="A24" s="2" t="s">
        <v>96</v>
      </c>
      <c r="B24">
        <v>6.66</v>
      </c>
      <c r="C24">
        <v>8.66</v>
      </c>
      <c r="D24">
        <v>39.479999999999997</v>
      </c>
      <c r="E24">
        <v>53.5</v>
      </c>
      <c r="F24">
        <v>67.72</v>
      </c>
    </row>
    <row r="25" spans="1:6" x14ac:dyDescent="0.35">
      <c r="A25" t="s">
        <v>97</v>
      </c>
      <c r="B25">
        <v>6198.28</v>
      </c>
      <c r="C25">
        <v>6459.22</v>
      </c>
      <c r="D25">
        <v>7691.08</v>
      </c>
      <c r="E25">
        <v>10171.85</v>
      </c>
      <c r="F25">
        <v>11451.98</v>
      </c>
    </row>
    <row r="26" spans="1:6" x14ac:dyDescent="0.35">
      <c r="A26" s="2" t="s">
        <v>98</v>
      </c>
      <c r="B26">
        <v>259.27999999999997</v>
      </c>
      <c r="C26">
        <v>269.17</v>
      </c>
      <c r="D26">
        <v>282.44</v>
      </c>
      <c r="E26">
        <v>349.84</v>
      </c>
      <c r="F26">
        <v>400.09</v>
      </c>
    </row>
    <row r="27" spans="1:6" x14ac:dyDescent="0.35">
      <c r="A27" t="s">
        <v>99</v>
      </c>
      <c r="B27">
        <v>5939</v>
      </c>
      <c r="C27">
        <v>6190.05</v>
      </c>
      <c r="D27">
        <v>7408.64</v>
      </c>
      <c r="E27">
        <v>9822.01</v>
      </c>
      <c r="F27">
        <v>11051.89</v>
      </c>
    </row>
    <row r="28" spans="1:6" x14ac:dyDescent="0.35">
      <c r="A28" t="s">
        <v>100</v>
      </c>
    </row>
    <row r="29" spans="1:6" x14ac:dyDescent="0.35">
      <c r="A29" t="s">
        <v>101</v>
      </c>
      <c r="C29">
        <v>315.27999999999997</v>
      </c>
    </row>
    <row r="30" spans="1:6" x14ac:dyDescent="0.35">
      <c r="A30" t="s">
        <v>102</v>
      </c>
      <c r="B30">
        <v>5939</v>
      </c>
      <c r="C30">
        <v>6505.33</v>
      </c>
      <c r="D30">
        <v>7408.64</v>
      </c>
      <c r="E30">
        <v>9822.01</v>
      </c>
      <c r="F30">
        <v>11051.89</v>
      </c>
    </row>
    <row r="31" spans="1:6" x14ac:dyDescent="0.35">
      <c r="A31" s="2" t="s">
        <v>103</v>
      </c>
      <c r="B31">
        <v>1384.41</v>
      </c>
      <c r="C31">
        <v>1486.46</v>
      </c>
      <c r="D31">
        <v>1781.04</v>
      </c>
      <c r="E31">
        <v>2343.2199999999998</v>
      </c>
      <c r="F31">
        <v>2900.47</v>
      </c>
    </row>
    <row r="32" spans="1:6" x14ac:dyDescent="0.35">
      <c r="A32" t="s">
        <v>104</v>
      </c>
      <c r="B32">
        <v>4554.59</v>
      </c>
      <c r="C32">
        <v>5018.87</v>
      </c>
      <c r="D32">
        <v>5627.6</v>
      </c>
      <c r="E32">
        <v>7478.79</v>
      </c>
      <c r="F32">
        <v>8151.42</v>
      </c>
    </row>
    <row r="33" spans="1:6" x14ac:dyDescent="0.35">
      <c r="A33" t="s">
        <v>105</v>
      </c>
    </row>
    <row r="34" spans="1:6" x14ac:dyDescent="0.35">
      <c r="A34" t="s">
        <v>106</v>
      </c>
    </row>
    <row r="35" spans="1:6" x14ac:dyDescent="0.35">
      <c r="A35" t="s">
        <v>107</v>
      </c>
    </row>
    <row r="36" spans="1:6" x14ac:dyDescent="0.35">
      <c r="A36" t="s">
        <v>108</v>
      </c>
    </row>
    <row r="37" spans="1:6" x14ac:dyDescent="0.35">
      <c r="A37" t="s">
        <v>109</v>
      </c>
    </row>
    <row r="38" spans="1:6" x14ac:dyDescent="0.35">
      <c r="A38" t="s">
        <v>110</v>
      </c>
    </row>
    <row r="39" spans="1:6" x14ac:dyDescent="0.35">
      <c r="A39" t="s">
        <v>111</v>
      </c>
      <c r="B39">
        <v>14750.44</v>
      </c>
      <c r="C39">
        <v>18861.25</v>
      </c>
      <c r="D39">
        <v>19340.400000000001</v>
      </c>
      <c r="E39">
        <v>17821.400000000001</v>
      </c>
      <c r="F39">
        <v>16416.32</v>
      </c>
    </row>
    <row r="40" spans="1:6" x14ac:dyDescent="0.35">
      <c r="A40" t="s">
        <v>112</v>
      </c>
      <c r="B40">
        <v>19305.03</v>
      </c>
      <c r="C40">
        <v>23880.12</v>
      </c>
      <c r="D40">
        <v>24968</v>
      </c>
      <c r="E40">
        <v>25300.19</v>
      </c>
      <c r="F40">
        <v>24567.74</v>
      </c>
    </row>
    <row r="41" spans="1:6" x14ac:dyDescent="0.35">
      <c r="A41" t="s">
        <v>113</v>
      </c>
      <c r="B41">
        <v>1400</v>
      </c>
      <c r="C41">
        <v>1400</v>
      </c>
      <c r="D41">
        <v>1400</v>
      </c>
      <c r="E41">
        <v>800</v>
      </c>
      <c r="F41">
        <v>2100</v>
      </c>
    </row>
    <row r="42" spans="1:6" x14ac:dyDescent="0.35">
      <c r="A42" t="s">
        <v>114</v>
      </c>
      <c r="B42">
        <v>157.4</v>
      </c>
      <c r="C42">
        <v>173.44</v>
      </c>
      <c r="D42">
        <v>198.88</v>
      </c>
      <c r="E42">
        <v>267.88</v>
      </c>
      <c r="F42">
        <v>291.89</v>
      </c>
    </row>
    <row r="43" spans="1:6" x14ac:dyDescent="0.35">
      <c r="A43" t="s">
        <v>115</v>
      </c>
      <c r="B43">
        <v>157.4</v>
      </c>
      <c r="C43">
        <v>173.44</v>
      </c>
      <c r="D43">
        <v>198.88</v>
      </c>
      <c r="E43">
        <v>267.88</v>
      </c>
      <c r="F43">
        <v>291.89</v>
      </c>
    </row>
    <row r="44" spans="1:6" x14ac:dyDescent="0.35">
      <c r="A44" t="s">
        <v>116</v>
      </c>
      <c r="B44">
        <v>157.5</v>
      </c>
      <c r="C44">
        <v>173.6</v>
      </c>
      <c r="D44">
        <v>197.3</v>
      </c>
      <c r="E44">
        <v>264.60000000000002</v>
      </c>
      <c r="F44">
        <v>292.10000000000002</v>
      </c>
    </row>
    <row r="45" spans="1:6" x14ac:dyDescent="0.35">
      <c r="A45" t="s">
        <v>117</v>
      </c>
      <c r="B45">
        <v>157.5</v>
      </c>
      <c r="C45">
        <v>173.6</v>
      </c>
      <c r="D45">
        <v>197.3</v>
      </c>
      <c r="E45">
        <v>264.3</v>
      </c>
      <c r="F45">
        <v>291.5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129F-B91B-4C02-BCFE-903C85B0A6D8}">
  <dimension ref="A1:F20"/>
  <sheetViews>
    <sheetView zoomScale="93" zoomScaleNormal="93" workbookViewId="0">
      <selection activeCell="K8" sqref="K8"/>
    </sheetView>
  </sheetViews>
  <sheetFormatPr defaultRowHeight="14.5" x14ac:dyDescent="0.35"/>
  <cols>
    <col min="1" max="1" width="55.1796875" bestFit="1" customWidth="1"/>
  </cols>
  <sheetData>
    <row r="1" spans="1:6" x14ac:dyDescent="0.35">
      <c r="A1" s="3" t="s">
        <v>1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 x14ac:dyDescent="0.35">
      <c r="A2" t="s">
        <v>20</v>
      </c>
    </row>
    <row r="3" spans="1:6" x14ac:dyDescent="0.35">
      <c r="A3" t="s">
        <v>102</v>
      </c>
      <c r="B3">
        <v>5939</v>
      </c>
      <c r="C3">
        <v>6505.33</v>
      </c>
      <c r="D3">
        <v>7408.64</v>
      </c>
      <c r="E3">
        <v>9822.01</v>
      </c>
      <c r="F3">
        <v>11051.89</v>
      </c>
    </row>
    <row r="4" spans="1:6" x14ac:dyDescent="0.35">
      <c r="A4" t="s">
        <v>119</v>
      </c>
      <c r="B4">
        <v>-974.64</v>
      </c>
      <c r="C4">
        <v>-1196.79</v>
      </c>
      <c r="D4">
        <v>-701.37</v>
      </c>
      <c r="E4">
        <v>-963.35</v>
      </c>
      <c r="F4">
        <v>-861.87</v>
      </c>
    </row>
    <row r="5" spans="1:6" x14ac:dyDescent="0.35">
      <c r="A5" t="s">
        <v>120</v>
      </c>
      <c r="B5">
        <v>-510.81</v>
      </c>
      <c r="C5">
        <v>600.57000000000005</v>
      </c>
      <c r="D5">
        <v>723.03</v>
      </c>
      <c r="E5">
        <v>1002.23</v>
      </c>
      <c r="F5">
        <v>-242.94</v>
      </c>
    </row>
    <row r="6" spans="1:6" x14ac:dyDescent="0.35">
      <c r="A6" t="s">
        <v>121</v>
      </c>
      <c r="B6">
        <v>4453.55</v>
      </c>
      <c r="C6">
        <v>5909.11</v>
      </c>
      <c r="D6">
        <v>7430.3</v>
      </c>
      <c r="E6">
        <v>9860.89</v>
      </c>
      <c r="F6">
        <v>9947.08</v>
      </c>
    </row>
    <row r="7" spans="1:6" x14ac:dyDescent="0.35">
      <c r="A7" t="s">
        <v>122</v>
      </c>
    </row>
    <row r="8" spans="1:6" x14ac:dyDescent="0.35">
      <c r="A8" t="s">
        <v>123</v>
      </c>
      <c r="B8">
        <v>-1339.69</v>
      </c>
      <c r="C8">
        <v>-1701.54</v>
      </c>
      <c r="D8">
        <v>-1918.41</v>
      </c>
      <c r="E8">
        <v>-2382.62</v>
      </c>
      <c r="F8">
        <v>-2680.35</v>
      </c>
    </row>
    <row r="9" spans="1:6" x14ac:dyDescent="0.35">
      <c r="A9" t="s">
        <v>124</v>
      </c>
    </row>
    <row r="10" spans="1:6" x14ac:dyDescent="0.35">
      <c r="A10" t="s">
        <v>125</v>
      </c>
    </row>
    <row r="11" spans="1:6" x14ac:dyDescent="0.35">
      <c r="A11" t="s">
        <v>126</v>
      </c>
      <c r="B11">
        <v>3113.86</v>
      </c>
      <c r="C11">
        <v>4207.57</v>
      </c>
      <c r="D11">
        <v>5511.89</v>
      </c>
      <c r="E11">
        <v>7478.27</v>
      </c>
      <c r="F11">
        <v>7266.73</v>
      </c>
    </row>
    <row r="12" spans="1:6" x14ac:dyDescent="0.35">
      <c r="A12" t="s">
        <v>127</v>
      </c>
      <c r="B12">
        <v>-2865.35</v>
      </c>
      <c r="C12">
        <v>-95.95</v>
      </c>
      <c r="D12">
        <v>1333.81</v>
      </c>
      <c r="E12">
        <v>-139.22</v>
      </c>
      <c r="F12">
        <v>-3640.98</v>
      </c>
    </row>
    <row r="13" spans="1:6" x14ac:dyDescent="0.35">
      <c r="A13" t="s">
        <v>128</v>
      </c>
      <c r="B13">
        <v>-19.52</v>
      </c>
      <c r="C13">
        <v>-4056.33</v>
      </c>
      <c r="D13">
        <v>-7178.86</v>
      </c>
      <c r="E13">
        <v>-7110.05</v>
      </c>
      <c r="F13">
        <v>-3254.23</v>
      </c>
    </row>
    <row r="14" spans="1:6" x14ac:dyDescent="0.35">
      <c r="A14" t="s">
        <v>129</v>
      </c>
      <c r="B14">
        <v>228.99</v>
      </c>
      <c r="C14">
        <v>55.29</v>
      </c>
      <c r="D14">
        <v>-333.16</v>
      </c>
      <c r="E14">
        <v>229</v>
      </c>
      <c r="F14">
        <v>371.52</v>
      </c>
    </row>
    <row r="15" spans="1:6" x14ac:dyDescent="0.35">
      <c r="A15" t="s">
        <v>130</v>
      </c>
      <c r="B15">
        <v>277.33</v>
      </c>
      <c r="C15">
        <v>505.13</v>
      </c>
      <c r="D15">
        <v>563.97</v>
      </c>
      <c r="E15">
        <v>219.42</v>
      </c>
      <c r="F15">
        <v>448.61</v>
      </c>
    </row>
    <row r="16" spans="1:6" x14ac:dyDescent="0.35">
      <c r="A16" t="s">
        <v>131</v>
      </c>
    </row>
    <row r="17" spans="1:6" x14ac:dyDescent="0.35">
      <c r="A17" t="s">
        <v>132</v>
      </c>
    </row>
    <row r="18" spans="1:6" x14ac:dyDescent="0.35">
      <c r="A18" t="s">
        <v>133</v>
      </c>
    </row>
    <row r="19" spans="1:6" x14ac:dyDescent="0.35">
      <c r="A19" t="s">
        <v>134</v>
      </c>
      <c r="B19">
        <v>-1.19</v>
      </c>
      <c r="C19">
        <v>3.55</v>
      </c>
      <c r="D19">
        <v>-11.39</v>
      </c>
      <c r="E19">
        <v>0.19</v>
      </c>
      <c r="F19">
        <v>-6.71</v>
      </c>
    </row>
    <row r="20" spans="1:6" x14ac:dyDescent="0.35">
      <c r="A20" t="s">
        <v>135</v>
      </c>
      <c r="B20">
        <v>505.13</v>
      </c>
      <c r="C20">
        <v>563.97</v>
      </c>
      <c r="D20">
        <v>219.42</v>
      </c>
      <c r="E20">
        <v>448.61</v>
      </c>
      <c r="F20">
        <v>813.42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428E-A959-4401-9F16-B130CE5BF89F}">
  <dimension ref="A1:S56"/>
  <sheetViews>
    <sheetView workbookViewId="0">
      <selection activeCell="A3" sqref="A3"/>
    </sheetView>
  </sheetViews>
  <sheetFormatPr defaultRowHeight="14.5" x14ac:dyDescent="0.35"/>
  <cols>
    <col min="1" max="1" width="63.81640625" bestFit="1" customWidth="1"/>
  </cols>
  <sheetData>
    <row r="1" spans="1:19" x14ac:dyDescent="0.35">
      <c r="A1" t="s">
        <v>0</v>
      </c>
    </row>
    <row r="2" spans="1:1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t="s">
        <v>20</v>
      </c>
    </row>
    <row r="4" spans="1:19" x14ac:dyDescent="0.35">
      <c r="A4" s="1" t="s">
        <v>21</v>
      </c>
    </row>
    <row r="5" spans="1:19" x14ac:dyDescent="0.35">
      <c r="A5" t="s">
        <v>22</v>
      </c>
      <c r="B5">
        <v>279.26</v>
      </c>
      <c r="C5">
        <v>279.18</v>
      </c>
      <c r="D5">
        <v>282.95999999999998</v>
      </c>
      <c r="E5">
        <v>289.37</v>
      </c>
      <c r="F5">
        <v>289.37</v>
      </c>
      <c r="G5">
        <v>289.37</v>
      </c>
      <c r="H5">
        <v>289.37</v>
      </c>
      <c r="I5">
        <v>289.37</v>
      </c>
      <c r="J5">
        <v>289.37</v>
      </c>
      <c r="K5">
        <v>289.37</v>
      </c>
      <c r="L5">
        <v>289.37</v>
      </c>
      <c r="M5">
        <v>289.37</v>
      </c>
      <c r="N5">
        <v>289.37</v>
      </c>
      <c r="O5">
        <v>289.37</v>
      </c>
      <c r="P5">
        <v>289.37</v>
      </c>
      <c r="Q5">
        <v>144.68</v>
      </c>
      <c r="R5">
        <v>144.68</v>
      </c>
      <c r="S5">
        <v>144.68</v>
      </c>
    </row>
    <row r="6" spans="1:19" x14ac:dyDescent="0.35">
      <c r="A6" t="s">
        <v>23</v>
      </c>
      <c r="B6">
        <v>99.44</v>
      </c>
      <c r="C6">
        <v>102.46</v>
      </c>
      <c r="D6">
        <v>62.09</v>
      </c>
      <c r="E6">
        <v>32.270000000000003</v>
      </c>
      <c r="F6">
        <v>16.91</v>
      </c>
      <c r="G6">
        <v>10.01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24</v>
      </c>
      <c r="B7">
        <v>31768.240000000002</v>
      </c>
      <c r="C7">
        <v>24478.86</v>
      </c>
      <c r="D7">
        <v>25080.81</v>
      </c>
      <c r="E7">
        <v>26347.16</v>
      </c>
      <c r="F7">
        <v>24895.98</v>
      </c>
      <c r="G7">
        <v>19626.11</v>
      </c>
      <c r="H7">
        <v>21490.53</v>
      </c>
      <c r="I7">
        <v>18814.490000000002</v>
      </c>
      <c r="J7">
        <v>16744.759999999998</v>
      </c>
      <c r="K7">
        <v>12977.18</v>
      </c>
      <c r="L7">
        <v>10402.780000000001</v>
      </c>
      <c r="M7">
        <v>9318.65</v>
      </c>
      <c r="N7">
        <v>7612.58</v>
      </c>
      <c r="O7">
        <v>5751.7</v>
      </c>
      <c r="P7">
        <v>4620.8500000000004</v>
      </c>
      <c r="Q7">
        <v>2783.66</v>
      </c>
      <c r="R7">
        <v>1725.01</v>
      </c>
      <c r="S7">
        <v>1442.91</v>
      </c>
    </row>
    <row r="8" spans="1:19" x14ac:dyDescent="0.35">
      <c r="A8" s="2" t="s">
        <v>25</v>
      </c>
      <c r="B8">
        <v>32146.94</v>
      </c>
      <c r="C8">
        <v>24860.5</v>
      </c>
      <c r="D8">
        <v>25425.86</v>
      </c>
      <c r="E8">
        <v>26668.799999999999</v>
      </c>
      <c r="F8">
        <v>25202.26</v>
      </c>
      <c r="G8">
        <v>19925.490000000002</v>
      </c>
      <c r="H8">
        <v>21779.9</v>
      </c>
      <c r="I8">
        <v>19103.86</v>
      </c>
      <c r="J8">
        <v>17034.13</v>
      </c>
      <c r="K8">
        <v>13266.55</v>
      </c>
      <c r="L8">
        <v>10692.15</v>
      </c>
      <c r="M8">
        <v>9608.02</v>
      </c>
      <c r="N8">
        <v>7901.95</v>
      </c>
      <c r="O8">
        <v>6041.07</v>
      </c>
      <c r="P8">
        <v>4910.22</v>
      </c>
      <c r="Q8">
        <v>2928.34</v>
      </c>
      <c r="R8">
        <v>1869.69</v>
      </c>
      <c r="S8">
        <v>1587.59</v>
      </c>
    </row>
    <row r="9" spans="1:19" x14ac:dyDescent="0.35">
      <c r="A9" s="1" t="s">
        <v>26</v>
      </c>
    </row>
    <row r="10" spans="1:19" x14ac:dyDescent="0.35">
      <c r="A10" t="s">
        <v>27</v>
      </c>
      <c r="Q10">
        <v>12.98</v>
      </c>
      <c r="S10">
        <v>6.95</v>
      </c>
    </row>
    <row r="11" spans="1:19" x14ac:dyDescent="0.35">
      <c r="A11" t="s">
        <v>28</v>
      </c>
      <c r="B11">
        <v>127.64</v>
      </c>
      <c r="C11">
        <v>125.84</v>
      </c>
      <c r="D11">
        <v>124.23</v>
      </c>
      <c r="E11">
        <v>122.77</v>
      </c>
      <c r="F11">
        <v>121.46</v>
      </c>
      <c r="G11">
        <v>125.59</v>
      </c>
      <c r="H11">
        <v>124.52</v>
      </c>
      <c r="I11">
        <v>120.77</v>
      </c>
      <c r="J11">
        <v>119.9</v>
      </c>
      <c r="K11">
        <v>117.86</v>
      </c>
      <c r="L11">
        <v>111.77</v>
      </c>
      <c r="M11">
        <v>57.74</v>
      </c>
      <c r="N11">
        <v>71.27</v>
      </c>
      <c r="O11">
        <v>97.48</v>
      </c>
      <c r="P11">
        <v>133.88</v>
      </c>
      <c r="Q11">
        <v>1325.6</v>
      </c>
      <c r="R11">
        <v>1570</v>
      </c>
      <c r="S11">
        <v>1327.39</v>
      </c>
    </row>
    <row r="12" spans="1:19" x14ac:dyDescent="0.35">
      <c r="A12" t="s">
        <v>29</v>
      </c>
      <c r="B12">
        <v>1123.03</v>
      </c>
      <c r="C12">
        <v>506.94</v>
      </c>
      <c r="D12">
        <v>345.15</v>
      </c>
      <c r="E12">
        <v>403.33</v>
      </c>
      <c r="F12">
        <v>522.14</v>
      </c>
      <c r="G12">
        <v>346.38</v>
      </c>
      <c r="H12">
        <v>542.66</v>
      </c>
      <c r="I12">
        <v>323.42</v>
      </c>
      <c r="J12">
        <v>313.62</v>
      </c>
      <c r="K12">
        <v>202.8</v>
      </c>
      <c r="L12">
        <v>141.58000000000001</v>
      </c>
      <c r="M12">
        <v>143.18</v>
      </c>
      <c r="N12">
        <v>115.1</v>
      </c>
      <c r="O12">
        <v>48.44</v>
      </c>
      <c r="P12">
        <v>29.71</v>
      </c>
      <c r="Q12">
        <v>1.69</v>
      </c>
      <c r="R12">
        <v>4.1900000000000004</v>
      </c>
      <c r="S12">
        <v>10.98</v>
      </c>
    </row>
    <row r="13" spans="1:19" x14ac:dyDescent="0.35">
      <c r="A13" t="s">
        <v>30</v>
      </c>
      <c r="B13">
        <v>28.09</v>
      </c>
      <c r="C13">
        <v>30.83</v>
      </c>
      <c r="D13">
        <v>33.54</v>
      </c>
      <c r="E13">
        <v>36.299999999999997</v>
      </c>
      <c r="F13">
        <v>39.15</v>
      </c>
      <c r="G13">
        <v>42.13</v>
      </c>
      <c r="H13">
        <v>45.07</v>
      </c>
      <c r="I13">
        <v>47.96</v>
      </c>
      <c r="J13">
        <v>56.53</v>
      </c>
      <c r="K13">
        <v>70.73</v>
      </c>
      <c r="L13">
        <v>57.59</v>
      </c>
      <c r="M13">
        <v>87.43</v>
      </c>
      <c r="N13">
        <v>117.94</v>
      </c>
      <c r="O13">
        <v>148.87</v>
      </c>
      <c r="P13">
        <v>181.53</v>
      </c>
    </row>
    <row r="14" spans="1:19" x14ac:dyDescent="0.35">
      <c r="A14" t="s">
        <v>31</v>
      </c>
      <c r="N14">
        <v>4.12</v>
      </c>
      <c r="O14">
        <v>8.1999999999999993</v>
      </c>
      <c r="P14">
        <v>12.18</v>
      </c>
    </row>
    <row r="15" spans="1:19" x14ac:dyDescent="0.35">
      <c r="A15" t="s">
        <v>32</v>
      </c>
      <c r="B15">
        <v>0.45</v>
      </c>
      <c r="C15">
        <v>0.84</v>
      </c>
      <c r="D15">
        <v>0.87</v>
      </c>
      <c r="E15">
        <v>1.3</v>
      </c>
      <c r="F15">
        <v>1.98</v>
      </c>
      <c r="G15">
        <v>80.5</v>
      </c>
      <c r="H15">
        <v>14.56</v>
      </c>
      <c r="I15">
        <v>112.19</v>
      </c>
      <c r="J15">
        <v>78.13</v>
      </c>
      <c r="K15">
        <v>47.57</v>
      </c>
      <c r="L15">
        <v>82.44</v>
      </c>
      <c r="M15">
        <v>120.99</v>
      </c>
      <c r="N15">
        <v>134.61000000000001</v>
      </c>
      <c r="O15">
        <v>111.85</v>
      </c>
      <c r="P15">
        <v>124.54</v>
      </c>
    </row>
    <row r="16" spans="1:19" x14ac:dyDescent="0.35">
      <c r="A16" t="s">
        <v>33</v>
      </c>
      <c r="B16">
        <v>1279.21</v>
      </c>
      <c r="C16">
        <v>664.45</v>
      </c>
      <c r="D16">
        <v>503.79</v>
      </c>
      <c r="E16">
        <v>563.70000000000005</v>
      </c>
      <c r="F16">
        <v>684.73</v>
      </c>
      <c r="G16">
        <v>594.6</v>
      </c>
      <c r="H16">
        <v>726.81</v>
      </c>
      <c r="I16">
        <v>604.34</v>
      </c>
      <c r="J16">
        <v>568.17999999999995</v>
      </c>
      <c r="K16">
        <v>438.96</v>
      </c>
      <c r="L16">
        <v>393.38</v>
      </c>
      <c r="M16">
        <v>409.34</v>
      </c>
      <c r="N16">
        <v>443.04</v>
      </c>
      <c r="O16">
        <v>414.84</v>
      </c>
      <c r="P16">
        <v>481.84</v>
      </c>
      <c r="Q16">
        <v>1340.27</v>
      </c>
      <c r="R16">
        <v>1574.19</v>
      </c>
      <c r="S16">
        <v>1345.32</v>
      </c>
    </row>
    <row r="17" spans="1:19" x14ac:dyDescent="0.35">
      <c r="A17" s="1" t="s">
        <v>34</v>
      </c>
    </row>
    <row r="18" spans="1:19" x14ac:dyDescent="0.35">
      <c r="A18" t="s">
        <v>35</v>
      </c>
      <c r="B18">
        <v>6267.63</v>
      </c>
      <c r="C18">
        <v>5593.61</v>
      </c>
      <c r="D18">
        <v>4073.88</v>
      </c>
      <c r="E18">
        <v>3633.18</v>
      </c>
      <c r="F18">
        <v>4573.8100000000004</v>
      </c>
      <c r="G18">
        <v>3199.7</v>
      </c>
      <c r="H18">
        <v>3786.73</v>
      </c>
      <c r="I18">
        <v>3244.32</v>
      </c>
      <c r="J18">
        <v>2235.73</v>
      </c>
      <c r="K18">
        <v>2027.04</v>
      </c>
      <c r="L18">
        <v>1760.53</v>
      </c>
      <c r="M18">
        <v>2111.4</v>
      </c>
      <c r="N18">
        <v>1979.61</v>
      </c>
      <c r="O18">
        <v>1957.79</v>
      </c>
      <c r="P18">
        <v>1789.26</v>
      </c>
      <c r="Q18">
        <v>1571.2</v>
      </c>
      <c r="R18">
        <v>799.98</v>
      </c>
      <c r="S18">
        <v>878.75</v>
      </c>
    </row>
    <row r="19" spans="1:19" x14ac:dyDescent="0.35">
      <c r="A19" t="s">
        <v>36</v>
      </c>
      <c r="B19">
        <v>1455.46</v>
      </c>
      <c r="C19">
        <v>2083.4</v>
      </c>
      <c r="D19">
        <v>934.47</v>
      </c>
      <c r="E19">
        <v>878.36</v>
      </c>
      <c r="F19">
        <v>892.88</v>
      </c>
      <c r="G19">
        <v>879.8</v>
      </c>
      <c r="H19">
        <v>930.59</v>
      </c>
      <c r="I19">
        <v>725.63</v>
      </c>
      <c r="J19">
        <v>840.18</v>
      </c>
      <c r="K19">
        <v>606.63</v>
      </c>
      <c r="L19">
        <v>806.69</v>
      </c>
      <c r="M19">
        <v>766.14</v>
      </c>
      <c r="N19">
        <v>546.16</v>
      </c>
      <c r="O19">
        <v>604.33000000000004</v>
      </c>
      <c r="P19">
        <v>477.11</v>
      </c>
      <c r="Q19">
        <v>455.05</v>
      </c>
      <c r="R19">
        <v>413.43</v>
      </c>
      <c r="S19">
        <v>164.5</v>
      </c>
    </row>
    <row r="20" spans="1:19" x14ac:dyDescent="0.35">
      <c r="A20" t="s">
        <v>37</v>
      </c>
      <c r="B20">
        <v>800</v>
      </c>
      <c r="C20">
        <v>834.05</v>
      </c>
      <c r="P20">
        <v>157.84</v>
      </c>
    </row>
    <row r="21" spans="1:19" x14ac:dyDescent="0.35">
      <c r="A21" t="s">
        <v>38</v>
      </c>
      <c r="B21">
        <v>479.66</v>
      </c>
      <c r="C21">
        <v>222.82</v>
      </c>
      <c r="D21">
        <v>189.69</v>
      </c>
      <c r="E21">
        <v>177.9</v>
      </c>
      <c r="F21">
        <v>176.52</v>
      </c>
      <c r="G21">
        <v>173.71</v>
      </c>
      <c r="H21">
        <v>156.36000000000001</v>
      </c>
      <c r="I21">
        <v>141.34</v>
      </c>
      <c r="J21">
        <v>136.66999999999999</v>
      </c>
      <c r="K21">
        <v>147.32</v>
      </c>
      <c r="L21">
        <v>1909.57</v>
      </c>
      <c r="M21">
        <v>1852.7</v>
      </c>
      <c r="N21">
        <v>1607.86</v>
      </c>
      <c r="O21">
        <v>2066.0500000000002</v>
      </c>
      <c r="P21">
        <v>1431.26</v>
      </c>
      <c r="Q21">
        <v>3665.84</v>
      </c>
      <c r="R21">
        <v>1224.1500000000001</v>
      </c>
      <c r="S21">
        <v>834.04</v>
      </c>
    </row>
    <row r="22" spans="1:19" x14ac:dyDescent="0.35">
      <c r="A22" t="s">
        <v>39</v>
      </c>
      <c r="B22">
        <v>9002.75</v>
      </c>
      <c r="C22">
        <v>8733.8799999999992</v>
      </c>
      <c r="D22">
        <v>5198.04</v>
      </c>
      <c r="E22">
        <v>4689.4399999999996</v>
      </c>
      <c r="F22">
        <v>5643.21</v>
      </c>
      <c r="G22">
        <v>4253.21</v>
      </c>
      <c r="H22">
        <v>4873.68</v>
      </c>
      <c r="I22">
        <v>4111.29</v>
      </c>
      <c r="J22">
        <v>3212.58</v>
      </c>
      <c r="K22">
        <v>2780.99</v>
      </c>
      <c r="L22">
        <v>4476.79</v>
      </c>
      <c r="M22">
        <v>4730.24</v>
      </c>
      <c r="N22">
        <v>4133.63</v>
      </c>
      <c r="O22">
        <v>4628.17</v>
      </c>
      <c r="P22">
        <v>3855.47</v>
      </c>
      <c r="Q22">
        <v>5692.09</v>
      </c>
      <c r="R22">
        <v>2437.56</v>
      </c>
      <c r="S22">
        <v>1877.29</v>
      </c>
    </row>
    <row r="23" spans="1:19" x14ac:dyDescent="0.35">
      <c r="A23" t="s">
        <v>40</v>
      </c>
    </row>
    <row r="24" spans="1:19" x14ac:dyDescent="0.35">
      <c r="A24" t="s">
        <v>41</v>
      </c>
      <c r="B24">
        <v>42428.9</v>
      </c>
      <c r="C24">
        <v>34258.83</v>
      </c>
      <c r="D24">
        <v>31127.69</v>
      </c>
      <c r="E24">
        <v>31921.94</v>
      </c>
      <c r="F24">
        <v>31530.2</v>
      </c>
      <c r="G24">
        <v>24773.3</v>
      </c>
      <c r="H24">
        <v>27380.39</v>
      </c>
      <c r="I24">
        <v>23819.49</v>
      </c>
      <c r="J24">
        <v>20814.89</v>
      </c>
      <c r="K24">
        <v>16486.5</v>
      </c>
      <c r="L24">
        <v>15562.32</v>
      </c>
      <c r="M24">
        <v>14747.6</v>
      </c>
      <c r="N24">
        <v>12478.62</v>
      </c>
      <c r="O24">
        <v>11084.08</v>
      </c>
      <c r="P24">
        <v>9247.5300000000007</v>
      </c>
      <c r="Q24">
        <v>9960.7000000000007</v>
      </c>
      <c r="R24">
        <v>5881.44</v>
      </c>
      <c r="S24">
        <v>4810.2</v>
      </c>
    </row>
    <row r="25" spans="1:19" x14ac:dyDescent="0.35">
      <c r="A25" s="1" t="s">
        <v>42</v>
      </c>
    </row>
    <row r="26" spans="1:19" x14ac:dyDescent="0.35">
      <c r="A26" s="1" t="s">
        <v>43</v>
      </c>
    </row>
    <row r="27" spans="1:19" x14ac:dyDescent="0.35">
      <c r="A27" t="s">
        <v>44</v>
      </c>
      <c r="B27">
        <v>6882.07</v>
      </c>
      <c r="C27">
        <v>6162.88</v>
      </c>
      <c r="D27">
        <v>5434.8</v>
      </c>
      <c r="E27">
        <v>4561.5600000000004</v>
      </c>
      <c r="F27">
        <v>4274.6400000000003</v>
      </c>
      <c r="G27">
        <v>4087.66</v>
      </c>
      <c r="H27">
        <v>4225.97</v>
      </c>
      <c r="I27">
        <v>4449.1400000000003</v>
      </c>
      <c r="J27">
        <v>4533.21</v>
      </c>
      <c r="K27">
        <v>4434.8900000000003</v>
      </c>
      <c r="L27">
        <v>4100.91</v>
      </c>
      <c r="M27">
        <v>4077.04</v>
      </c>
      <c r="N27">
        <v>3828.85</v>
      </c>
      <c r="O27">
        <v>3396.06</v>
      </c>
      <c r="P27">
        <v>3395.16</v>
      </c>
      <c r="Q27">
        <v>3379.25</v>
      </c>
      <c r="R27">
        <v>3350.2</v>
      </c>
      <c r="S27">
        <v>2994.68</v>
      </c>
    </row>
    <row r="28" spans="1:19" x14ac:dyDescent="0.35">
      <c r="A28" t="s">
        <v>45</v>
      </c>
      <c r="B28">
        <v>3379.09</v>
      </c>
      <c r="C28">
        <v>3013.12</v>
      </c>
      <c r="D28">
        <v>2768.81</v>
      </c>
      <c r="E28">
        <v>2778.67</v>
      </c>
      <c r="F28">
        <v>2662.01</v>
      </c>
      <c r="G28">
        <v>2442.54</v>
      </c>
      <c r="H28">
        <v>2517.5300000000002</v>
      </c>
      <c r="I28">
        <v>2627.92</v>
      </c>
      <c r="J28">
        <v>2589.9499999999998</v>
      </c>
      <c r="K28">
        <v>2409.2199999999998</v>
      </c>
      <c r="L28">
        <v>2183.67</v>
      </c>
      <c r="M28">
        <v>2071</v>
      </c>
      <c r="N28">
        <v>2024.42</v>
      </c>
      <c r="O28">
        <v>1914.33</v>
      </c>
      <c r="P28">
        <v>1912.45</v>
      </c>
      <c r="Q28">
        <v>1899.66</v>
      </c>
      <c r="R28">
        <v>1807.91</v>
      </c>
      <c r="S28">
        <v>1726.07</v>
      </c>
    </row>
    <row r="29" spans="1:19" x14ac:dyDescent="0.35">
      <c r="A29" t="s">
        <v>46</v>
      </c>
    </row>
    <row r="30" spans="1:19" x14ac:dyDescent="0.35">
      <c r="A30" t="s">
        <v>47</v>
      </c>
      <c r="B30">
        <v>3502.98</v>
      </c>
      <c r="C30">
        <v>3149.76</v>
      </c>
      <c r="D30">
        <v>2665.99</v>
      </c>
      <c r="E30">
        <v>1782.89</v>
      </c>
      <c r="F30">
        <v>1612.63</v>
      </c>
      <c r="G30">
        <v>1645.12</v>
      </c>
      <c r="H30">
        <v>1708.44</v>
      </c>
      <c r="I30">
        <v>1821.22</v>
      </c>
      <c r="J30">
        <v>1943.26</v>
      </c>
      <c r="K30">
        <v>2025.67</v>
      </c>
      <c r="L30">
        <v>1917.24</v>
      </c>
      <c r="M30">
        <v>2006.04</v>
      </c>
      <c r="N30">
        <v>1804.43</v>
      </c>
      <c r="O30">
        <v>1481.73</v>
      </c>
      <c r="P30">
        <v>1482.71</v>
      </c>
      <c r="Q30">
        <v>1479.59</v>
      </c>
      <c r="R30">
        <v>1542.29</v>
      </c>
      <c r="S30">
        <v>1268.6099999999999</v>
      </c>
    </row>
    <row r="31" spans="1:19" x14ac:dyDescent="0.35">
      <c r="A31" t="s">
        <v>48</v>
      </c>
    </row>
    <row r="32" spans="1:19" x14ac:dyDescent="0.35">
      <c r="A32" t="s">
        <v>49</v>
      </c>
      <c r="B32">
        <v>26.02</v>
      </c>
      <c r="C32">
        <v>24.29</v>
      </c>
      <c r="D32">
        <v>81.92</v>
      </c>
      <c r="E32">
        <v>76.819999999999993</v>
      </c>
      <c r="F32">
        <v>15.98</v>
      </c>
      <c r="G32">
        <v>46.54</v>
      </c>
      <c r="H32">
        <v>11.54</v>
      </c>
      <c r="I32">
        <v>11.15</v>
      </c>
      <c r="J32">
        <v>10.64</v>
      </c>
      <c r="K32">
        <v>26.89</v>
      </c>
      <c r="L32">
        <v>101.72</v>
      </c>
      <c r="M32">
        <v>32.549999999999997</v>
      </c>
      <c r="N32">
        <v>223.29</v>
      </c>
      <c r="O32">
        <v>11.77</v>
      </c>
      <c r="P32">
        <v>69.86</v>
      </c>
      <c r="Q32">
        <v>41.52</v>
      </c>
      <c r="R32">
        <v>22.06</v>
      </c>
      <c r="S32">
        <v>34.74</v>
      </c>
    </row>
    <row r="33" spans="1:19" x14ac:dyDescent="0.35">
      <c r="A33" t="s">
        <v>50</v>
      </c>
      <c r="B33">
        <v>2.2400000000000002</v>
      </c>
      <c r="C33">
        <v>3.2</v>
      </c>
      <c r="G33">
        <v>13.65</v>
      </c>
      <c r="H33">
        <v>36.479999999999997</v>
      </c>
      <c r="I33">
        <v>45.32</v>
      </c>
      <c r="J33">
        <v>31.53</v>
      </c>
      <c r="K33">
        <v>25.35</v>
      </c>
      <c r="L33">
        <v>153.22</v>
      </c>
      <c r="M33">
        <v>111.51</v>
      </c>
      <c r="N33">
        <v>70.260000000000005</v>
      </c>
      <c r="O33">
        <v>29.88</v>
      </c>
    </row>
    <row r="34" spans="1:19" x14ac:dyDescent="0.35">
      <c r="A34" t="s">
        <v>51</v>
      </c>
    </row>
    <row r="35" spans="1:19" x14ac:dyDescent="0.35">
      <c r="A35" t="s">
        <v>52</v>
      </c>
      <c r="B35">
        <v>47.78</v>
      </c>
      <c r="C35">
        <v>48.9</v>
      </c>
      <c r="D35">
        <v>50.02</v>
      </c>
      <c r="E35">
        <v>51.13</v>
      </c>
      <c r="F35">
        <v>52.3</v>
      </c>
      <c r="G35">
        <v>53.9</v>
      </c>
      <c r="H35">
        <v>55.5</v>
      </c>
      <c r="I35">
        <v>57.11</v>
      </c>
      <c r="J35">
        <v>58.53</v>
      </c>
      <c r="K35">
        <v>60.43</v>
      </c>
    </row>
    <row r="36" spans="1:19" x14ac:dyDescent="0.35">
      <c r="A36" t="s">
        <v>53</v>
      </c>
      <c r="B36">
        <v>22986.78</v>
      </c>
      <c r="C36">
        <v>19613.02</v>
      </c>
      <c r="D36">
        <v>18503.96</v>
      </c>
      <c r="E36">
        <v>18849.63</v>
      </c>
      <c r="F36">
        <v>14602.84</v>
      </c>
      <c r="G36">
        <v>15416.2</v>
      </c>
      <c r="H36">
        <v>17582.88</v>
      </c>
      <c r="I36">
        <v>11822.89</v>
      </c>
      <c r="J36">
        <v>8681.39</v>
      </c>
      <c r="K36">
        <v>8940.65</v>
      </c>
      <c r="L36">
        <v>3352.76</v>
      </c>
      <c r="M36">
        <v>6259.93</v>
      </c>
      <c r="N36">
        <v>3719.15</v>
      </c>
      <c r="O36">
        <v>3786.21</v>
      </c>
      <c r="P36">
        <v>4035.08</v>
      </c>
      <c r="Q36">
        <v>2296.3200000000002</v>
      </c>
      <c r="R36">
        <v>1465.15</v>
      </c>
      <c r="S36">
        <v>1743.21</v>
      </c>
    </row>
    <row r="37" spans="1:19" x14ac:dyDescent="0.35">
      <c r="A37" t="s">
        <v>54</v>
      </c>
      <c r="B37">
        <v>2416.91</v>
      </c>
      <c r="C37">
        <v>1035.19</v>
      </c>
      <c r="D37">
        <v>954.35</v>
      </c>
      <c r="E37">
        <v>1119.52</v>
      </c>
      <c r="F37">
        <v>1054.77</v>
      </c>
      <c r="G37">
        <v>997.8</v>
      </c>
      <c r="H37">
        <v>922.87</v>
      </c>
      <c r="I37">
        <v>826.15</v>
      </c>
      <c r="J37">
        <v>698.15</v>
      </c>
      <c r="K37">
        <v>682.24</v>
      </c>
      <c r="L37">
        <v>511.07</v>
      </c>
      <c r="M37">
        <v>719.92</v>
      </c>
      <c r="N37">
        <v>462.39</v>
      </c>
      <c r="O37">
        <v>601.28</v>
      </c>
      <c r="P37">
        <v>227.59</v>
      </c>
    </row>
    <row r="38" spans="1:19" x14ac:dyDescent="0.35">
      <c r="A38" t="s">
        <v>55</v>
      </c>
      <c r="B38">
        <v>18.88</v>
      </c>
      <c r="C38">
        <v>19.11</v>
      </c>
      <c r="D38">
        <v>1.05</v>
      </c>
      <c r="E38">
        <v>47.48</v>
      </c>
      <c r="F38">
        <v>16.55</v>
      </c>
      <c r="G38">
        <v>3.13</v>
      </c>
      <c r="H38">
        <v>0.02</v>
      </c>
      <c r="I38">
        <v>0.02</v>
      </c>
      <c r="J38">
        <v>0.02</v>
      </c>
      <c r="K38">
        <v>0.02</v>
      </c>
      <c r="L38">
        <v>0.04</v>
      </c>
      <c r="M38">
        <v>1.02</v>
      </c>
      <c r="N38">
        <v>1.02</v>
      </c>
      <c r="O38">
        <v>1.02</v>
      </c>
      <c r="P38">
        <v>401.14</v>
      </c>
    </row>
    <row r="39" spans="1:19" x14ac:dyDescent="0.35">
      <c r="A39" t="s">
        <v>56</v>
      </c>
      <c r="B39">
        <v>29001.59</v>
      </c>
      <c r="C39">
        <v>23893.47</v>
      </c>
      <c r="D39">
        <v>22257.29</v>
      </c>
      <c r="E39">
        <v>21927.47</v>
      </c>
      <c r="F39">
        <v>17355.07</v>
      </c>
      <c r="G39">
        <v>18176.34</v>
      </c>
      <c r="H39">
        <v>20317.73</v>
      </c>
      <c r="I39">
        <v>14583.86</v>
      </c>
      <c r="J39">
        <v>11423.52</v>
      </c>
      <c r="K39">
        <v>11761.25</v>
      </c>
      <c r="L39">
        <v>6036.05</v>
      </c>
      <c r="M39">
        <v>9130.9699999999993</v>
      </c>
      <c r="N39">
        <v>6280.54</v>
      </c>
      <c r="O39">
        <v>5911.89</v>
      </c>
      <c r="P39">
        <v>6216.38</v>
      </c>
      <c r="Q39">
        <v>3817.43</v>
      </c>
      <c r="R39">
        <v>3029.5</v>
      </c>
      <c r="S39">
        <v>3046.56</v>
      </c>
    </row>
    <row r="40" spans="1:19" x14ac:dyDescent="0.35">
      <c r="A40" s="1" t="s">
        <v>57</v>
      </c>
    </row>
    <row r="41" spans="1:19" x14ac:dyDescent="0.35">
      <c r="A41" t="s">
        <v>58</v>
      </c>
      <c r="B41">
        <v>5583.45</v>
      </c>
      <c r="C41">
        <v>3837.98</v>
      </c>
      <c r="D41">
        <v>4419.37</v>
      </c>
      <c r="E41">
        <v>4969.13</v>
      </c>
      <c r="F41">
        <v>8028.11</v>
      </c>
      <c r="G41">
        <v>2779.75</v>
      </c>
      <c r="H41">
        <v>1576.48</v>
      </c>
      <c r="I41">
        <v>5765.41</v>
      </c>
      <c r="J41">
        <v>6050.08</v>
      </c>
      <c r="K41">
        <v>1319.94</v>
      </c>
      <c r="L41">
        <v>5800.56</v>
      </c>
      <c r="M41">
        <v>2289.6999999999998</v>
      </c>
      <c r="N41">
        <v>2711.33</v>
      </c>
      <c r="O41">
        <v>1096.5999999999999</v>
      </c>
      <c r="P41">
        <v>686.83</v>
      </c>
      <c r="Q41">
        <v>1725.2</v>
      </c>
      <c r="R41">
        <v>343.37</v>
      </c>
      <c r="S41">
        <v>113.93</v>
      </c>
    </row>
    <row r="42" spans="1:19" x14ac:dyDescent="0.35">
      <c r="A42" t="s">
        <v>59</v>
      </c>
      <c r="B42">
        <v>1957.9</v>
      </c>
      <c r="C42">
        <v>1695.62</v>
      </c>
      <c r="D42">
        <v>1397.9</v>
      </c>
      <c r="E42">
        <v>1230.51</v>
      </c>
      <c r="F42">
        <v>1493.89</v>
      </c>
      <c r="G42">
        <v>1063.5</v>
      </c>
      <c r="H42">
        <v>961.51</v>
      </c>
      <c r="I42">
        <v>742.58</v>
      </c>
      <c r="J42">
        <v>728.38</v>
      </c>
      <c r="K42">
        <v>719.07</v>
      </c>
      <c r="L42">
        <v>814.15</v>
      </c>
      <c r="M42">
        <v>639.72</v>
      </c>
      <c r="N42">
        <v>636.28</v>
      </c>
      <c r="O42">
        <v>678.53</v>
      </c>
      <c r="P42">
        <v>547.28</v>
      </c>
      <c r="Q42">
        <v>446.21</v>
      </c>
      <c r="R42">
        <v>338.84</v>
      </c>
      <c r="S42">
        <v>349.61</v>
      </c>
    </row>
    <row r="43" spans="1:19" x14ac:dyDescent="0.35">
      <c r="A43" t="s">
        <v>60</v>
      </c>
      <c r="B43">
        <v>2282.64</v>
      </c>
      <c r="C43">
        <v>2122.4</v>
      </c>
      <c r="D43">
        <v>1776.12</v>
      </c>
      <c r="E43">
        <v>1516.38</v>
      </c>
      <c r="F43">
        <v>2716.85</v>
      </c>
      <c r="G43">
        <v>1725.1</v>
      </c>
      <c r="H43">
        <v>2559.69</v>
      </c>
      <c r="I43">
        <v>1491.87</v>
      </c>
      <c r="J43">
        <v>953.29</v>
      </c>
      <c r="K43">
        <v>717.93</v>
      </c>
      <c r="L43">
        <v>716.96</v>
      </c>
      <c r="M43">
        <v>796.21</v>
      </c>
      <c r="N43">
        <v>767.58</v>
      </c>
      <c r="O43">
        <v>422.79</v>
      </c>
      <c r="P43">
        <v>359.89</v>
      </c>
      <c r="Q43">
        <v>239.45</v>
      </c>
      <c r="R43">
        <v>358.65</v>
      </c>
      <c r="S43">
        <v>275.31</v>
      </c>
    </row>
    <row r="44" spans="1:19" x14ac:dyDescent="0.35">
      <c r="A44" t="s">
        <v>61</v>
      </c>
      <c r="B44">
        <v>1328.55</v>
      </c>
      <c r="C44">
        <v>1578.12</v>
      </c>
      <c r="D44">
        <v>285.75</v>
      </c>
      <c r="E44">
        <v>588.34</v>
      </c>
      <c r="F44">
        <v>527.36</v>
      </c>
      <c r="G44">
        <v>308.27</v>
      </c>
      <c r="H44">
        <v>922.81</v>
      </c>
      <c r="I44">
        <v>778</v>
      </c>
      <c r="J44">
        <v>293.68</v>
      </c>
      <c r="K44">
        <v>859.52</v>
      </c>
      <c r="L44">
        <v>586.15</v>
      </c>
      <c r="M44">
        <v>495.48</v>
      </c>
      <c r="N44">
        <v>558.85</v>
      </c>
      <c r="O44">
        <v>1653.83</v>
      </c>
      <c r="P44">
        <v>228.78</v>
      </c>
      <c r="Q44">
        <v>101.41</v>
      </c>
      <c r="R44">
        <v>136.87</v>
      </c>
      <c r="S44">
        <v>56.07</v>
      </c>
    </row>
    <row r="45" spans="1:19" x14ac:dyDescent="0.35">
      <c r="A45" t="s">
        <v>62</v>
      </c>
      <c r="B45">
        <v>1234.7</v>
      </c>
      <c r="C45">
        <v>531.88</v>
      </c>
      <c r="D45">
        <v>576.83000000000004</v>
      </c>
      <c r="E45">
        <v>883.94</v>
      </c>
      <c r="F45">
        <v>233.32</v>
      </c>
      <c r="G45">
        <v>177.87</v>
      </c>
      <c r="H45">
        <v>623.63</v>
      </c>
      <c r="I45">
        <v>182.97</v>
      </c>
      <c r="J45">
        <v>427.44</v>
      </c>
      <c r="K45">
        <v>237.35</v>
      </c>
      <c r="L45">
        <v>346.84</v>
      </c>
      <c r="M45">
        <v>417.07</v>
      </c>
      <c r="N45">
        <v>212.32</v>
      </c>
      <c r="O45">
        <v>295.58999999999997</v>
      </c>
      <c r="P45">
        <v>216.28</v>
      </c>
      <c r="Q45">
        <v>139.36000000000001</v>
      </c>
      <c r="R45">
        <v>125.68</v>
      </c>
      <c r="S45">
        <v>79.95</v>
      </c>
    </row>
    <row r="46" spans="1:19" x14ac:dyDescent="0.35">
      <c r="A46" t="s">
        <v>63</v>
      </c>
      <c r="B46">
        <v>1040.07</v>
      </c>
      <c r="C46">
        <v>599.36</v>
      </c>
      <c r="D46">
        <v>414.43</v>
      </c>
      <c r="E46">
        <v>806.17</v>
      </c>
      <c r="F46">
        <v>1175.5999999999999</v>
      </c>
      <c r="G46">
        <v>542.47</v>
      </c>
      <c r="H46">
        <v>418.54</v>
      </c>
      <c r="I46">
        <v>274.8</v>
      </c>
      <c r="J46">
        <v>938.5</v>
      </c>
      <c r="K46">
        <v>871.44</v>
      </c>
      <c r="L46">
        <v>1261.6099999999999</v>
      </c>
      <c r="M46">
        <v>978.45</v>
      </c>
      <c r="N46">
        <v>1311.72</v>
      </c>
      <c r="O46">
        <v>1024.8499999999999</v>
      </c>
      <c r="P46">
        <v>992.09</v>
      </c>
      <c r="Q46">
        <v>3491.64</v>
      </c>
      <c r="R46">
        <v>1365.23</v>
      </c>
      <c r="S46">
        <v>888.77</v>
      </c>
    </row>
    <row r="47" spans="1:19" x14ac:dyDescent="0.35">
      <c r="A47" t="s">
        <v>64</v>
      </c>
      <c r="B47">
        <v>13427.31</v>
      </c>
      <c r="C47">
        <v>10365.36</v>
      </c>
      <c r="D47">
        <v>8870.4</v>
      </c>
      <c r="E47">
        <v>9994.4699999999993</v>
      </c>
      <c r="F47">
        <v>14175.13</v>
      </c>
      <c r="G47">
        <v>6596.96</v>
      </c>
      <c r="H47">
        <v>7062.66</v>
      </c>
      <c r="I47">
        <v>9235.6299999999992</v>
      </c>
      <c r="J47">
        <v>9391.3700000000008</v>
      </c>
      <c r="K47">
        <v>4725.25</v>
      </c>
      <c r="L47">
        <v>9526.27</v>
      </c>
      <c r="M47">
        <v>5616.63</v>
      </c>
      <c r="N47">
        <v>6198.08</v>
      </c>
      <c r="O47">
        <v>5172.1899999999996</v>
      </c>
      <c r="P47">
        <v>3031.15</v>
      </c>
      <c r="Q47">
        <v>6143.27</v>
      </c>
      <c r="R47">
        <v>2668.64</v>
      </c>
      <c r="S47">
        <v>1763.64</v>
      </c>
    </row>
    <row r="48" spans="1:19" x14ac:dyDescent="0.35">
      <c r="A48" t="s">
        <v>65</v>
      </c>
    </row>
    <row r="49" spans="1:19" x14ac:dyDescent="0.35">
      <c r="A49" t="s">
        <v>66</v>
      </c>
      <c r="B49">
        <v>4424.5600000000004</v>
      </c>
      <c r="C49">
        <v>1631.48</v>
      </c>
      <c r="D49">
        <v>3672.36</v>
      </c>
      <c r="E49">
        <v>5305.03</v>
      </c>
      <c r="F49">
        <v>8531.92</v>
      </c>
      <c r="G49">
        <v>2343.75</v>
      </c>
      <c r="H49">
        <v>2188.98</v>
      </c>
      <c r="I49">
        <v>5124.34</v>
      </c>
      <c r="J49">
        <v>6178.79</v>
      </c>
      <c r="K49">
        <v>1944.26</v>
      </c>
      <c r="L49">
        <v>5049.4799999999996</v>
      </c>
      <c r="M49">
        <v>886.39</v>
      </c>
      <c r="N49">
        <v>2064.4499999999998</v>
      </c>
      <c r="O49">
        <v>544.02</v>
      </c>
      <c r="P49">
        <v>-824.32</v>
      </c>
      <c r="Q49">
        <v>451.18</v>
      </c>
      <c r="R49">
        <v>231.08</v>
      </c>
      <c r="S49">
        <v>-113.65</v>
      </c>
    </row>
    <row r="50" spans="1:19" x14ac:dyDescent="0.35">
      <c r="A50" t="s">
        <v>67</v>
      </c>
      <c r="B50">
        <v>7843.86</v>
      </c>
      <c r="C50">
        <v>6527.38</v>
      </c>
      <c r="D50">
        <v>4451.03</v>
      </c>
      <c r="E50">
        <v>5025.34</v>
      </c>
      <c r="F50">
        <v>6147.02</v>
      </c>
      <c r="G50">
        <v>3817.21</v>
      </c>
      <c r="H50">
        <v>5486.18</v>
      </c>
      <c r="I50">
        <v>3470.22</v>
      </c>
      <c r="J50">
        <v>3341.29</v>
      </c>
      <c r="K50">
        <v>3405.31</v>
      </c>
      <c r="L50">
        <v>3725.71</v>
      </c>
      <c r="M50">
        <v>3326.93</v>
      </c>
      <c r="N50">
        <v>3486.75</v>
      </c>
      <c r="O50">
        <v>4075.59</v>
      </c>
      <c r="P50">
        <v>2344.3200000000002</v>
      </c>
      <c r="Q50">
        <v>4418.07</v>
      </c>
      <c r="R50">
        <v>2325.27</v>
      </c>
      <c r="S50">
        <v>1649.71</v>
      </c>
    </row>
    <row r="51" spans="1:19" x14ac:dyDescent="0.35">
      <c r="A51" t="s">
        <v>68</v>
      </c>
      <c r="R51">
        <v>183.3</v>
      </c>
    </row>
    <row r="52" spans="1:19" x14ac:dyDescent="0.35">
      <c r="A52" t="s">
        <v>69</v>
      </c>
      <c r="B52">
        <v>42428.9</v>
      </c>
      <c r="C52">
        <v>34258.83</v>
      </c>
      <c r="D52">
        <v>31127.69</v>
      </c>
      <c r="E52">
        <v>31921.94</v>
      </c>
      <c r="F52">
        <v>31530.2</v>
      </c>
      <c r="G52">
        <v>24773.3</v>
      </c>
      <c r="H52">
        <v>27380.39</v>
      </c>
      <c r="I52">
        <v>23819.49</v>
      </c>
      <c r="J52">
        <v>20814.89</v>
      </c>
      <c r="K52">
        <v>16486.5</v>
      </c>
      <c r="L52">
        <v>15562.32</v>
      </c>
      <c r="M52">
        <v>14747.6</v>
      </c>
      <c r="N52">
        <v>12478.62</v>
      </c>
      <c r="O52">
        <v>11084.08</v>
      </c>
      <c r="P52">
        <v>9247.5300000000007</v>
      </c>
      <c r="Q52">
        <v>9960.7000000000007</v>
      </c>
      <c r="R52">
        <v>5881.44</v>
      </c>
      <c r="S52">
        <v>4810.2</v>
      </c>
    </row>
    <row r="53" spans="1:19" x14ac:dyDescent="0.35">
      <c r="A53" t="s">
        <v>70</v>
      </c>
      <c r="B53">
        <v>2033.84</v>
      </c>
      <c r="C53">
        <v>1622.93</v>
      </c>
      <c r="D53">
        <v>1615.25</v>
      </c>
      <c r="E53">
        <v>1583.38</v>
      </c>
      <c r="F53">
        <v>1564.28</v>
      </c>
      <c r="G53">
        <v>1627.16</v>
      </c>
      <c r="H53">
        <v>1785.06</v>
      </c>
      <c r="I53">
        <v>1719.7</v>
      </c>
      <c r="J53">
        <v>1933.56</v>
      </c>
      <c r="K53">
        <v>1867.58</v>
      </c>
      <c r="L53">
        <v>1517.09</v>
      </c>
      <c r="M53">
        <v>1053.18</v>
      </c>
      <c r="N53">
        <v>1170.98</v>
      </c>
      <c r="O53">
        <v>993.51</v>
      </c>
      <c r="P53">
        <v>897.01</v>
      </c>
      <c r="Q53">
        <v>779.65</v>
      </c>
      <c r="R53">
        <v>781.46</v>
      </c>
      <c r="S53">
        <v>624.29</v>
      </c>
    </row>
    <row r="54" spans="1:19" x14ac:dyDescent="0.35">
      <c r="A54" s="2" t="s">
        <v>71</v>
      </c>
      <c r="B54">
        <v>927.64</v>
      </c>
      <c r="C54">
        <v>959.89</v>
      </c>
      <c r="D54">
        <v>124.23</v>
      </c>
      <c r="E54">
        <v>122.77</v>
      </c>
      <c r="F54">
        <v>121.46</v>
      </c>
      <c r="G54">
        <v>125.59</v>
      </c>
      <c r="H54">
        <v>124.52</v>
      </c>
      <c r="I54">
        <v>120.77</v>
      </c>
      <c r="J54">
        <v>119.9</v>
      </c>
      <c r="K54">
        <v>117.86</v>
      </c>
      <c r="L54">
        <v>112.35</v>
      </c>
      <c r="M54">
        <v>59.19</v>
      </c>
      <c r="N54">
        <v>88.44</v>
      </c>
      <c r="O54">
        <v>125.03</v>
      </c>
      <c r="P54">
        <v>325.14</v>
      </c>
      <c r="Q54">
        <v>1338.58</v>
      </c>
      <c r="R54">
        <v>1570</v>
      </c>
      <c r="S54">
        <v>1334.34</v>
      </c>
    </row>
    <row r="55" spans="1:19" x14ac:dyDescent="0.35">
      <c r="A55" t="s">
        <v>72</v>
      </c>
      <c r="B55">
        <v>1147.5899999999999</v>
      </c>
      <c r="C55">
        <v>886.81</v>
      </c>
      <c r="D55">
        <v>896.37</v>
      </c>
      <c r="E55">
        <v>920.5</v>
      </c>
      <c r="F55">
        <v>870.35</v>
      </c>
      <c r="G55">
        <v>688.24</v>
      </c>
      <c r="H55">
        <v>752.67</v>
      </c>
      <c r="I55">
        <v>660.19</v>
      </c>
      <c r="J55">
        <v>588.66</v>
      </c>
      <c r="K55">
        <v>458.46</v>
      </c>
      <c r="L55">
        <v>369.5</v>
      </c>
      <c r="M55">
        <v>332.03</v>
      </c>
      <c r="N55">
        <v>273.07</v>
      </c>
      <c r="O55">
        <v>208.77</v>
      </c>
      <c r="P55">
        <v>169.69</v>
      </c>
      <c r="Q55">
        <v>202.4</v>
      </c>
      <c r="R55">
        <v>116.56</v>
      </c>
      <c r="S55">
        <v>109.73</v>
      </c>
    </row>
    <row r="56" spans="1:19" x14ac:dyDescent="0.35">
      <c r="A56" t="s">
        <v>73</v>
      </c>
      <c r="B56">
        <v>1147.5899999999999</v>
      </c>
      <c r="C56">
        <v>886.81</v>
      </c>
      <c r="D56">
        <v>896.37</v>
      </c>
      <c r="E56">
        <v>920.5</v>
      </c>
      <c r="F56">
        <v>870.35</v>
      </c>
      <c r="G56">
        <v>688.24</v>
      </c>
      <c r="H56">
        <v>752.67</v>
      </c>
      <c r="I56">
        <v>660.19</v>
      </c>
      <c r="J56">
        <v>588.66</v>
      </c>
      <c r="K56">
        <v>458.46</v>
      </c>
      <c r="L56">
        <v>369.5</v>
      </c>
      <c r="M56">
        <v>332.03</v>
      </c>
      <c r="N56">
        <v>273.07</v>
      </c>
      <c r="O56">
        <v>208.77</v>
      </c>
      <c r="P56">
        <v>169.69</v>
      </c>
      <c r="Q56">
        <v>101.2</v>
      </c>
      <c r="R56">
        <v>58.28</v>
      </c>
      <c r="S56">
        <v>54.87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207F-9646-4D0F-ADA7-4DDC195AB679}">
  <dimension ref="A1:S46"/>
  <sheetViews>
    <sheetView workbookViewId="0">
      <selection activeCell="A3" sqref="A3"/>
    </sheetView>
  </sheetViews>
  <sheetFormatPr defaultRowHeight="14.5" x14ac:dyDescent="0.35"/>
  <cols>
    <col min="1" max="1" width="73.1796875" bestFit="1" customWidth="1"/>
  </cols>
  <sheetData>
    <row r="1" spans="1:19" x14ac:dyDescent="0.35">
      <c r="A1" t="s">
        <v>74</v>
      </c>
    </row>
    <row r="2" spans="1:1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t="s">
        <v>20</v>
      </c>
    </row>
    <row r="4" spans="1:19" x14ac:dyDescent="0.35">
      <c r="A4" t="s">
        <v>75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</row>
    <row r="5" spans="1:19" x14ac:dyDescent="0.35">
      <c r="A5" s="1" t="s">
        <v>76</v>
      </c>
    </row>
    <row r="6" spans="1:19" x14ac:dyDescent="0.35">
      <c r="A6" t="s">
        <v>77</v>
      </c>
      <c r="B6">
        <v>50378.559999999998</v>
      </c>
      <c r="C6">
        <v>45056.43</v>
      </c>
      <c r="D6">
        <v>36737.22</v>
      </c>
      <c r="E6">
        <v>33387.61</v>
      </c>
      <c r="F6">
        <v>27925.02</v>
      </c>
      <c r="G6">
        <v>30103.24</v>
      </c>
      <c r="H6">
        <v>30511.98</v>
      </c>
      <c r="I6">
        <v>25766.240000000002</v>
      </c>
      <c r="J6">
        <v>23088.03</v>
      </c>
      <c r="K6">
        <v>23883.200000000001</v>
      </c>
      <c r="L6">
        <v>22521.29</v>
      </c>
      <c r="M6">
        <v>21158.91</v>
      </c>
      <c r="N6">
        <v>21126.16</v>
      </c>
      <c r="O6">
        <v>20475.740000000002</v>
      </c>
      <c r="P6">
        <v>17331.64</v>
      </c>
      <c r="Q6">
        <v>12118.08</v>
      </c>
      <c r="R6">
        <v>9049.66</v>
      </c>
      <c r="S6">
        <v>9689.9500000000007</v>
      </c>
    </row>
    <row r="7" spans="1:19" x14ac:dyDescent="0.35">
      <c r="A7" t="s">
        <v>78</v>
      </c>
    </row>
    <row r="8" spans="1:19" x14ac:dyDescent="0.35">
      <c r="A8" t="s">
        <v>79</v>
      </c>
      <c r="B8">
        <v>368.25</v>
      </c>
      <c r="C8">
        <v>371.2</v>
      </c>
      <c r="D8">
        <v>309.62</v>
      </c>
      <c r="E8">
        <v>242.9</v>
      </c>
      <c r="F8">
        <v>183.94</v>
      </c>
      <c r="G8">
        <v>184.59</v>
      </c>
      <c r="H8">
        <v>154.41</v>
      </c>
      <c r="I8">
        <v>148.97999999999999</v>
      </c>
    </row>
    <row r="9" spans="1:19" x14ac:dyDescent="0.35">
      <c r="A9" t="s">
        <v>80</v>
      </c>
      <c r="I9">
        <v>398.34</v>
      </c>
      <c r="J9">
        <v>1321.35</v>
      </c>
      <c r="K9">
        <v>1296.68</v>
      </c>
      <c r="L9">
        <v>909.28</v>
      </c>
      <c r="M9">
        <v>1009.4</v>
      </c>
      <c r="N9">
        <v>1128.9100000000001</v>
      </c>
      <c r="O9">
        <v>946.76</v>
      </c>
      <c r="P9">
        <v>933.41</v>
      </c>
      <c r="Q9">
        <v>609.58000000000004</v>
      </c>
      <c r="R9">
        <v>612.72</v>
      </c>
      <c r="S9">
        <v>1026.6600000000001</v>
      </c>
    </row>
    <row r="10" spans="1:19" x14ac:dyDescent="0.35">
      <c r="A10" t="s">
        <v>81</v>
      </c>
      <c r="B10">
        <v>50010.31</v>
      </c>
      <c r="C10">
        <v>44685.23</v>
      </c>
      <c r="D10">
        <v>36427.599999999999</v>
      </c>
      <c r="E10">
        <v>33144.71</v>
      </c>
      <c r="F10">
        <v>27741.08</v>
      </c>
      <c r="G10">
        <v>29918.65</v>
      </c>
      <c r="H10">
        <v>30357.57</v>
      </c>
      <c r="I10">
        <v>25218.92</v>
      </c>
      <c r="J10">
        <v>21766.68</v>
      </c>
      <c r="K10">
        <v>22586.52</v>
      </c>
      <c r="L10">
        <v>21612.01</v>
      </c>
      <c r="M10">
        <v>20149.509999999998</v>
      </c>
      <c r="N10">
        <v>19997.25</v>
      </c>
      <c r="O10">
        <v>19528.98</v>
      </c>
      <c r="P10">
        <v>16398.23</v>
      </c>
      <c r="Q10">
        <v>11508.5</v>
      </c>
      <c r="R10">
        <v>8436.94</v>
      </c>
      <c r="S10">
        <v>8663.2900000000009</v>
      </c>
    </row>
    <row r="11" spans="1:19" x14ac:dyDescent="0.35">
      <c r="A11" s="1" t="s">
        <v>82</v>
      </c>
    </row>
    <row r="12" spans="1:19" x14ac:dyDescent="0.35">
      <c r="A12" t="s">
        <v>83</v>
      </c>
      <c r="B12">
        <v>35.18</v>
      </c>
      <c r="C12">
        <v>-70.45</v>
      </c>
      <c r="D12">
        <v>-98.11</v>
      </c>
      <c r="E12">
        <v>187.96</v>
      </c>
      <c r="F12">
        <v>-219.48</v>
      </c>
      <c r="G12">
        <v>-63.01</v>
      </c>
      <c r="H12">
        <v>-56.42</v>
      </c>
      <c r="I12">
        <v>9.68</v>
      </c>
      <c r="J12">
        <v>-43.68</v>
      </c>
      <c r="K12">
        <v>63.45</v>
      </c>
      <c r="L12">
        <v>-46.05</v>
      </c>
      <c r="M12">
        <v>-27.03</v>
      </c>
      <c r="N12">
        <v>30.27</v>
      </c>
      <c r="O12">
        <v>-81.819999999999993</v>
      </c>
      <c r="P12">
        <v>-81.489999999999995</v>
      </c>
      <c r="Q12">
        <v>-49.48</v>
      </c>
      <c r="R12">
        <v>21.84</v>
      </c>
      <c r="S12">
        <v>-65</v>
      </c>
    </row>
    <row r="13" spans="1:19" x14ac:dyDescent="0.35">
      <c r="A13" t="s">
        <v>84</v>
      </c>
      <c r="B13">
        <v>35302.26</v>
      </c>
      <c r="C13">
        <v>31813.89</v>
      </c>
      <c r="D13">
        <v>26152.86</v>
      </c>
      <c r="E13">
        <v>24141.86</v>
      </c>
      <c r="F13">
        <v>19829.13</v>
      </c>
      <c r="G13">
        <v>21071.29</v>
      </c>
      <c r="H13">
        <v>21854.1</v>
      </c>
      <c r="I13">
        <v>17400.41</v>
      </c>
      <c r="J13">
        <v>14667.83</v>
      </c>
      <c r="K13">
        <v>14993.41</v>
      </c>
      <c r="L13">
        <v>14907.36</v>
      </c>
      <c r="M13">
        <v>13895.57</v>
      </c>
      <c r="N13">
        <v>14382.57</v>
      </c>
      <c r="O13">
        <v>14196.69</v>
      </c>
      <c r="P13">
        <v>11880.3</v>
      </c>
      <c r="Q13">
        <v>8119.92</v>
      </c>
      <c r="R13">
        <v>6441.63</v>
      </c>
      <c r="S13">
        <v>6685.37</v>
      </c>
    </row>
    <row r="14" spans="1:19" x14ac:dyDescent="0.35">
      <c r="A14" t="s">
        <v>85</v>
      </c>
      <c r="B14">
        <v>176.94</v>
      </c>
      <c r="C14">
        <v>147.80000000000001</v>
      </c>
      <c r="D14">
        <v>122.51</v>
      </c>
      <c r="E14">
        <v>108.01</v>
      </c>
      <c r="F14">
        <v>91.34</v>
      </c>
      <c r="G14">
        <v>116.57</v>
      </c>
      <c r="H14">
        <v>115.01</v>
      </c>
      <c r="I14">
        <v>100.26</v>
      </c>
      <c r="J14">
        <v>96.46</v>
      </c>
      <c r="K14">
        <v>120.66</v>
      </c>
      <c r="L14">
        <v>114.7</v>
      </c>
      <c r="M14">
        <v>106.16</v>
      </c>
      <c r="N14">
        <v>121.33</v>
      </c>
      <c r="O14">
        <v>101.85</v>
      </c>
      <c r="P14">
        <v>86.61</v>
      </c>
      <c r="Q14">
        <v>70.349999999999994</v>
      </c>
      <c r="R14">
        <v>60.89</v>
      </c>
      <c r="S14">
        <v>69.2</v>
      </c>
    </row>
    <row r="15" spans="1:19" x14ac:dyDescent="0.35">
      <c r="A15" t="s">
        <v>86</v>
      </c>
      <c r="B15">
        <v>1579.44</v>
      </c>
      <c r="C15">
        <v>1537.56</v>
      </c>
      <c r="D15">
        <v>1444.9</v>
      </c>
      <c r="E15">
        <v>1358.8</v>
      </c>
      <c r="F15">
        <v>1285.96</v>
      </c>
      <c r="G15">
        <v>1389.21</v>
      </c>
      <c r="H15">
        <v>1255.4000000000001</v>
      </c>
      <c r="I15">
        <v>1069.0899999999999</v>
      </c>
      <c r="J15">
        <v>997.07</v>
      </c>
      <c r="K15">
        <v>883.42</v>
      </c>
      <c r="L15">
        <v>865.24</v>
      </c>
      <c r="M15">
        <v>696.48</v>
      </c>
      <c r="N15">
        <v>611.76</v>
      </c>
      <c r="O15">
        <v>515.39</v>
      </c>
      <c r="P15">
        <v>476.78</v>
      </c>
      <c r="Q15">
        <v>396.64</v>
      </c>
      <c r="R15">
        <v>351.63</v>
      </c>
      <c r="S15">
        <v>339.81</v>
      </c>
    </row>
    <row r="16" spans="1:19" x14ac:dyDescent="0.35">
      <c r="A16" t="s">
        <v>87</v>
      </c>
      <c r="B16">
        <v>1101.24</v>
      </c>
      <c r="C16">
        <v>932.97</v>
      </c>
      <c r="D16">
        <v>900.44</v>
      </c>
      <c r="E16">
        <v>939.67</v>
      </c>
      <c r="F16">
        <v>700.77</v>
      </c>
      <c r="G16">
        <v>832.27</v>
      </c>
      <c r="H16">
        <v>753.47</v>
      </c>
      <c r="I16">
        <v>652.79999999999995</v>
      </c>
      <c r="J16">
        <v>650.4</v>
      </c>
      <c r="K16">
        <v>749.06</v>
      </c>
      <c r="L16">
        <v>733.99</v>
      </c>
      <c r="M16">
        <v>601.16999999999996</v>
      </c>
      <c r="N16">
        <v>590.69000000000005</v>
      </c>
      <c r="O16">
        <v>575.01</v>
      </c>
      <c r="P16">
        <v>460.88</v>
      </c>
      <c r="Q16">
        <v>390.07</v>
      </c>
      <c r="R16">
        <v>381.52</v>
      </c>
      <c r="S16">
        <v>374.08</v>
      </c>
    </row>
    <row r="17" spans="1:19" x14ac:dyDescent="0.35">
      <c r="A17" t="s">
        <v>88</v>
      </c>
      <c r="B17">
        <v>117.62</v>
      </c>
      <c r="C17">
        <v>107.51</v>
      </c>
      <c r="D17">
        <v>89.77</v>
      </c>
      <c r="E17">
        <v>61.57</v>
      </c>
      <c r="F17">
        <v>62.87</v>
      </c>
      <c r="G17">
        <v>109.87</v>
      </c>
      <c r="H17">
        <v>96.18</v>
      </c>
      <c r="I17">
        <v>81.680000000000007</v>
      </c>
      <c r="J17">
        <v>92.55</v>
      </c>
      <c r="K17">
        <v>112.7</v>
      </c>
      <c r="L17">
        <v>102.91</v>
      </c>
      <c r="M17">
        <v>94.54</v>
      </c>
      <c r="N17">
        <v>86.32</v>
      </c>
      <c r="O17">
        <v>70.05</v>
      </c>
      <c r="P17">
        <v>63.82</v>
      </c>
      <c r="Q17">
        <v>29.58</v>
      </c>
      <c r="R17">
        <v>29.33</v>
      </c>
      <c r="S17">
        <v>19.53</v>
      </c>
    </row>
    <row r="18" spans="1:19" x14ac:dyDescent="0.35">
      <c r="A18" t="s">
        <v>89</v>
      </c>
      <c r="B18">
        <v>739.62</v>
      </c>
      <c r="C18">
        <v>654.22</v>
      </c>
      <c r="D18">
        <v>584.53</v>
      </c>
      <c r="E18">
        <v>480.91</v>
      </c>
      <c r="F18">
        <v>494.81</v>
      </c>
      <c r="G18">
        <v>781.55</v>
      </c>
      <c r="H18">
        <v>728.22</v>
      </c>
      <c r="I18">
        <v>671.38</v>
      </c>
      <c r="J18">
        <v>506.59</v>
      </c>
      <c r="K18">
        <v>527.96</v>
      </c>
      <c r="L18">
        <v>505.93</v>
      </c>
      <c r="M18">
        <v>404.36</v>
      </c>
      <c r="N18">
        <v>325.47000000000003</v>
      </c>
      <c r="O18">
        <v>270.52999999999997</v>
      </c>
      <c r="P18">
        <v>193.84</v>
      </c>
      <c r="Q18">
        <v>220.04</v>
      </c>
      <c r="R18">
        <v>179.22</v>
      </c>
      <c r="S18">
        <v>204.24</v>
      </c>
    </row>
    <row r="19" spans="1:19" x14ac:dyDescent="0.35">
      <c r="A19" t="s">
        <v>90</v>
      </c>
      <c r="B19">
        <v>913.84</v>
      </c>
      <c r="C19">
        <v>826.8</v>
      </c>
      <c r="D19">
        <v>711.38</v>
      </c>
      <c r="E19">
        <v>642.71</v>
      </c>
      <c r="F19">
        <v>585.04</v>
      </c>
      <c r="G19">
        <v>614.64</v>
      </c>
      <c r="H19">
        <v>449.23</v>
      </c>
      <c r="I19">
        <v>619.69000000000005</v>
      </c>
      <c r="J19">
        <v>400.62</v>
      </c>
      <c r="K19">
        <v>370.94</v>
      </c>
      <c r="L19">
        <v>375.93</v>
      </c>
      <c r="M19">
        <v>370.38</v>
      </c>
      <c r="N19">
        <v>332.6</v>
      </c>
      <c r="O19">
        <v>248.7</v>
      </c>
      <c r="P19">
        <v>180.55</v>
      </c>
      <c r="Q19">
        <v>167.15</v>
      </c>
      <c r="R19">
        <v>167.56</v>
      </c>
      <c r="S19">
        <v>148.44999999999999</v>
      </c>
    </row>
    <row r="20" spans="1:19" x14ac:dyDescent="0.35">
      <c r="A20" t="s">
        <v>91</v>
      </c>
      <c r="B20">
        <v>49.67</v>
      </c>
      <c r="C20">
        <v>47.53</v>
      </c>
      <c r="D20">
        <v>27.82</v>
      </c>
      <c r="E20">
        <v>13.31</v>
      </c>
      <c r="F20">
        <v>12.27</v>
      </c>
      <c r="G20">
        <v>29.97</v>
      </c>
      <c r="H20">
        <v>30.1</v>
      </c>
      <c r="I20">
        <v>24.07</v>
      </c>
      <c r="J20">
        <v>22.27</v>
      </c>
      <c r="K20">
        <v>17.02</v>
      </c>
      <c r="L20">
        <v>60.05</v>
      </c>
      <c r="M20">
        <v>64.900000000000006</v>
      </c>
      <c r="N20">
        <v>62.85</v>
      </c>
      <c r="O20">
        <v>49.43</v>
      </c>
      <c r="P20">
        <v>16.66</v>
      </c>
      <c r="Q20">
        <v>15.67</v>
      </c>
      <c r="R20">
        <v>14.42</v>
      </c>
      <c r="S20">
        <v>23.04</v>
      </c>
    </row>
    <row r="21" spans="1:19" x14ac:dyDescent="0.35">
      <c r="A21" t="s">
        <v>92</v>
      </c>
      <c r="B21">
        <v>39916.47</v>
      </c>
      <c r="C21">
        <v>35902.769999999997</v>
      </c>
      <c r="D21">
        <v>29880.46</v>
      </c>
      <c r="E21">
        <v>27908.18</v>
      </c>
      <c r="F21">
        <v>22818.17</v>
      </c>
      <c r="G21">
        <v>24822.42</v>
      </c>
      <c r="H21">
        <v>25165.09</v>
      </c>
      <c r="I21">
        <v>20580.919999999998</v>
      </c>
      <c r="J21">
        <v>17345.57</v>
      </c>
      <c r="K21">
        <v>17804.580000000002</v>
      </c>
      <c r="L21">
        <v>17499.96</v>
      </c>
      <c r="M21">
        <v>16076.73</v>
      </c>
      <c r="N21">
        <v>16418.16</v>
      </c>
      <c r="O21">
        <v>15846.97</v>
      </c>
      <c r="P21">
        <v>13244.63</v>
      </c>
      <c r="Q21">
        <v>9328.6</v>
      </c>
      <c r="R21">
        <v>7619.2</v>
      </c>
      <c r="S21">
        <v>7752.64</v>
      </c>
    </row>
    <row r="22" spans="1:19" x14ac:dyDescent="0.35">
      <c r="A22" t="s">
        <v>93</v>
      </c>
      <c r="B22">
        <v>10093.84</v>
      </c>
      <c r="C22">
        <v>8782.4599999999991</v>
      </c>
      <c r="D22">
        <v>6547.14</v>
      </c>
      <c r="E22">
        <v>5236.53</v>
      </c>
      <c r="F22">
        <v>4922.91</v>
      </c>
      <c r="G22">
        <v>5096.2299999999996</v>
      </c>
      <c r="H22">
        <v>5192.4799999999996</v>
      </c>
      <c r="I22">
        <v>4638</v>
      </c>
      <c r="J22">
        <v>4421.1099999999997</v>
      </c>
      <c r="K22">
        <v>4781.9399999999996</v>
      </c>
      <c r="L22">
        <v>4112.05</v>
      </c>
      <c r="M22">
        <v>4072.78</v>
      </c>
      <c r="N22">
        <v>3579.09</v>
      </c>
      <c r="O22">
        <v>3682.01</v>
      </c>
      <c r="P22">
        <v>3153.6</v>
      </c>
      <c r="Q22">
        <v>2179.9</v>
      </c>
      <c r="R22">
        <v>817.74</v>
      </c>
      <c r="S22">
        <v>910.65</v>
      </c>
    </row>
    <row r="23" spans="1:19" x14ac:dyDescent="0.35">
      <c r="A23" t="s">
        <v>94</v>
      </c>
      <c r="B23">
        <v>1425.86</v>
      </c>
      <c r="C23">
        <v>1442.89</v>
      </c>
      <c r="D23">
        <v>1183.42</v>
      </c>
      <c r="E23">
        <v>1231.3499999999999</v>
      </c>
      <c r="F23">
        <v>1282.03</v>
      </c>
      <c r="G23">
        <v>1733.56</v>
      </c>
      <c r="H23">
        <v>1438.85</v>
      </c>
      <c r="I23">
        <v>1492.68</v>
      </c>
      <c r="J23">
        <v>1223.21</v>
      </c>
      <c r="K23">
        <v>1073.5899999999999</v>
      </c>
      <c r="L23">
        <v>586.91999999999996</v>
      </c>
      <c r="M23">
        <v>739.37</v>
      </c>
      <c r="N23">
        <v>854.45</v>
      </c>
      <c r="O23">
        <v>646.02</v>
      </c>
      <c r="P23">
        <v>594.13</v>
      </c>
      <c r="Q23">
        <v>535.16</v>
      </c>
      <c r="R23">
        <v>496.25</v>
      </c>
      <c r="S23">
        <v>505.56</v>
      </c>
    </row>
    <row r="24" spans="1:19" x14ac:dyDescent="0.35">
      <c r="A24" t="s">
        <v>95</v>
      </c>
      <c r="B24">
        <v>11519.7</v>
      </c>
      <c r="C24">
        <v>10225.35</v>
      </c>
      <c r="D24">
        <v>7730.56</v>
      </c>
      <c r="E24">
        <v>6467.88</v>
      </c>
      <c r="F24">
        <v>6204.94</v>
      </c>
      <c r="G24">
        <v>6829.79</v>
      </c>
      <c r="H24">
        <v>6631.33</v>
      </c>
      <c r="I24">
        <v>6130.68</v>
      </c>
      <c r="J24">
        <v>5644.32</v>
      </c>
      <c r="K24">
        <v>5855.53</v>
      </c>
      <c r="L24">
        <v>4698.97</v>
      </c>
      <c r="M24">
        <v>4812.1499999999996</v>
      </c>
      <c r="N24">
        <v>4433.54</v>
      </c>
      <c r="O24">
        <v>4328.03</v>
      </c>
      <c r="P24">
        <v>3747.73</v>
      </c>
      <c r="Q24">
        <v>2715.06</v>
      </c>
      <c r="R24">
        <v>1313.99</v>
      </c>
      <c r="S24">
        <v>1416.21</v>
      </c>
    </row>
    <row r="25" spans="1:19" x14ac:dyDescent="0.35">
      <c r="A25" t="s">
        <v>96</v>
      </c>
      <c r="B25">
        <v>67.72</v>
      </c>
      <c r="C25">
        <v>53.5</v>
      </c>
      <c r="D25">
        <v>39.479999999999997</v>
      </c>
      <c r="E25">
        <v>8.66</v>
      </c>
      <c r="F25">
        <v>6.66</v>
      </c>
      <c r="G25">
        <v>3.16</v>
      </c>
      <c r="H25">
        <v>4.4800000000000004</v>
      </c>
      <c r="I25">
        <v>1.31</v>
      </c>
      <c r="J25">
        <v>1.4</v>
      </c>
      <c r="K25">
        <v>1.05</v>
      </c>
      <c r="L25">
        <v>6.49</v>
      </c>
      <c r="M25">
        <v>0.49</v>
      </c>
      <c r="N25">
        <v>0.54</v>
      </c>
      <c r="O25">
        <v>22.24</v>
      </c>
      <c r="P25">
        <v>1.69</v>
      </c>
      <c r="Q25">
        <v>5.98</v>
      </c>
      <c r="R25">
        <v>21.01</v>
      </c>
      <c r="S25">
        <v>5.16</v>
      </c>
    </row>
    <row r="26" spans="1:19" x14ac:dyDescent="0.35">
      <c r="A26" t="s">
        <v>97</v>
      </c>
      <c r="B26">
        <v>11451.98</v>
      </c>
      <c r="C26">
        <v>10171.85</v>
      </c>
      <c r="D26">
        <v>7691.08</v>
      </c>
      <c r="E26">
        <v>6459.22</v>
      </c>
      <c r="F26">
        <v>6198.28</v>
      </c>
      <c r="G26">
        <v>6826.63</v>
      </c>
      <c r="H26">
        <v>6626.85</v>
      </c>
      <c r="I26">
        <v>6129.37</v>
      </c>
      <c r="J26">
        <v>5642.92</v>
      </c>
      <c r="K26">
        <v>5854.48</v>
      </c>
      <c r="L26">
        <v>4692.4799999999996</v>
      </c>
      <c r="M26">
        <v>4811.66</v>
      </c>
      <c r="N26">
        <v>4433</v>
      </c>
      <c r="O26">
        <v>4305.79</v>
      </c>
      <c r="P26">
        <v>3746.04</v>
      </c>
      <c r="Q26">
        <v>2709.08</v>
      </c>
      <c r="R26">
        <v>1292.98</v>
      </c>
      <c r="S26">
        <v>1411.05</v>
      </c>
    </row>
    <row r="27" spans="1:19" x14ac:dyDescent="0.35">
      <c r="A27" t="s">
        <v>98</v>
      </c>
      <c r="B27">
        <v>400.09</v>
      </c>
      <c r="C27">
        <v>349.84</v>
      </c>
      <c r="D27">
        <v>282.44</v>
      </c>
      <c r="E27">
        <v>269.17</v>
      </c>
      <c r="F27">
        <v>259.27999999999997</v>
      </c>
      <c r="G27">
        <v>246.43</v>
      </c>
      <c r="H27">
        <v>265.69</v>
      </c>
      <c r="I27">
        <v>314.8</v>
      </c>
      <c r="J27">
        <v>307.29000000000002</v>
      </c>
      <c r="K27">
        <v>307.16000000000003</v>
      </c>
      <c r="L27">
        <v>267.39999999999998</v>
      </c>
      <c r="M27">
        <v>179.61</v>
      </c>
      <c r="N27">
        <v>166.77</v>
      </c>
      <c r="O27">
        <v>145.62</v>
      </c>
      <c r="P27">
        <v>122.84</v>
      </c>
      <c r="Q27">
        <v>136.44999999999999</v>
      </c>
      <c r="R27">
        <v>129.79</v>
      </c>
      <c r="S27">
        <v>173.96</v>
      </c>
    </row>
    <row r="28" spans="1:19" x14ac:dyDescent="0.35">
      <c r="A28" t="s">
        <v>99</v>
      </c>
      <c r="B28">
        <v>11051.89</v>
      </c>
      <c r="C28">
        <v>9822.01</v>
      </c>
      <c r="D28">
        <v>7408.64</v>
      </c>
      <c r="E28">
        <v>6190.05</v>
      </c>
      <c r="F28">
        <v>5939</v>
      </c>
      <c r="G28">
        <v>6580.2</v>
      </c>
      <c r="H28">
        <v>6361.16</v>
      </c>
      <c r="I28">
        <v>5814.57</v>
      </c>
      <c r="J28">
        <v>5335.63</v>
      </c>
      <c r="K28">
        <v>5547.32</v>
      </c>
      <c r="L28">
        <v>4425.08</v>
      </c>
      <c r="M28">
        <v>4632.05</v>
      </c>
      <c r="N28">
        <v>4266.2299999999996</v>
      </c>
      <c r="O28">
        <v>4160.17</v>
      </c>
      <c r="P28">
        <v>3623.2</v>
      </c>
      <c r="Q28">
        <v>2572.63</v>
      </c>
      <c r="R28">
        <v>1163.19</v>
      </c>
      <c r="S28">
        <v>1237.0899999999999</v>
      </c>
    </row>
    <row r="29" spans="1:19" x14ac:dyDescent="0.35">
      <c r="A29" t="s">
        <v>100</v>
      </c>
    </row>
    <row r="30" spans="1:19" x14ac:dyDescent="0.35">
      <c r="A30" t="s">
        <v>101</v>
      </c>
      <c r="E30">
        <v>315.27999999999997</v>
      </c>
      <c r="H30">
        <v>342</v>
      </c>
      <c r="I30">
        <v>-32</v>
      </c>
      <c r="L30">
        <v>-340.29</v>
      </c>
      <c r="O30">
        <v>-134</v>
      </c>
      <c r="P30">
        <v>724.55</v>
      </c>
      <c r="Q30">
        <v>-161.5</v>
      </c>
      <c r="R30">
        <v>-205.1</v>
      </c>
      <c r="S30">
        <v>-102.36</v>
      </c>
    </row>
    <row r="31" spans="1:19" x14ac:dyDescent="0.35">
      <c r="A31" t="s">
        <v>102</v>
      </c>
      <c r="B31">
        <v>11051.89</v>
      </c>
      <c r="C31">
        <v>9822.01</v>
      </c>
      <c r="D31">
        <v>7408.64</v>
      </c>
      <c r="E31">
        <v>6505.33</v>
      </c>
      <c r="F31">
        <v>5939</v>
      </c>
      <c r="G31">
        <v>6580.2</v>
      </c>
      <c r="H31">
        <v>6703.16</v>
      </c>
      <c r="I31">
        <v>5782.57</v>
      </c>
      <c r="J31">
        <v>5335.63</v>
      </c>
      <c r="K31">
        <v>5547.32</v>
      </c>
      <c r="L31">
        <v>4084.79</v>
      </c>
      <c r="M31">
        <v>4632.05</v>
      </c>
      <c r="N31">
        <v>4266.2299999999996</v>
      </c>
      <c r="O31">
        <v>4026.17</v>
      </c>
      <c r="P31">
        <v>4347.75</v>
      </c>
      <c r="Q31">
        <v>2411.13</v>
      </c>
      <c r="R31">
        <v>958.09</v>
      </c>
      <c r="S31">
        <v>1134.73</v>
      </c>
    </row>
    <row r="32" spans="1:19" x14ac:dyDescent="0.35">
      <c r="A32" t="s">
        <v>103</v>
      </c>
      <c r="B32">
        <v>2900.47</v>
      </c>
      <c r="C32">
        <v>2343.2199999999998</v>
      </c>
      <c r="D32">
        <v>1781.04</v>
      </c>
      <c r="E32">
        <v>1486.46</v>
      </c>
      <c r="F32">
        <v>1384.41</v>
      </c>
      <c r="G32">
        <v>1480.22</v>
      </c>
      <c r="H32">
        <v>2027.98</v>
      </c>
      <c r="I32">
        <v>1714.47</v>
      </c>
      <c r="J32">
        <v>1508.07</v>
      </c>
      <c r="K32">
        <v>1617.65</v>
      </c>
      <c r="L32">
        <v>1271.05</v>
      </c>
      <c r="M32">
        <v>1388.73</v>
      </c>
      <c r="N32">
        <v>1222.6600000000001</v>
      </c>
      <c r="O32">
        <v>1022.12</v>
      </c>
      <c r="P32">
        <v>1008.02</v>
      </c>
      <c r="Q32">
        <v>707.5</v>
      </c>
      <c r="R32">
        <v>301.61</v>
      </c>
      <c r="S32">
        <v>378.78</v>
      </c>
    </row>
    <row r="33" spans="1:19" x14ac:dyDescent="0.35">
      <c r="A33" t="s">
        <v>104</v>
      </c>
      <c r="B33">
        <v>8151.42</v>
      </c>
      <c r="C33">
        <v>7478.79</v>
      </c>
      <c r="D33">
        <v>5627.6</v>
      </c>
      <c r="E33">
        <v>5018.87</v>
      </c>
      <c r="F33">
        <v>4554.59</v>
      </c>
      <c r="G33">
        <v>5099.9799999999996</v>
      </c>
      <c r="H33">
        <v>4675.18</v>
      </c>
      <c r="I33">
        <v>4068.1</v>
      </c>
      <c r="J33">
        <v>3827.56</v>
      </c>
      <c r="K33">
        <v>3929.67</v>
      </c>
      <c r="L33">
        <v>2813.74</v>
      </c>
      <c r="M33">
        <v>3243.32</v>
      </c>
      <c r="N33">
        <v>3043.57</v>
      </c>
      <c r="O33">
        <v>3004.05</v>
      </c>
      <c r="P33">
        <v>3339.73</v>
      </c>
      <c r="Q33">
        <v>1703.63</v>
      </c>
      <c r="R33">
        <v>656.48</v>
      </c>
      <c r="S33">
        <v>755.95</v>
      </c>
    </row>
    <row r="34" spans="1:19" x14ac:dyDescent="0.35">
      <c r="A34" t="s">
        <v>105</v>
      </c>
    </row>
    <row r="35" spans="1:19" x14ac:dyDescent="0.35">
      <c r="A35" t="s">
        <v>106</v>
      </c>
    </row>
    <row r="36" spans="1:19" x14ac:dyDescent="0.35">
      <c r="A36" t="s">
        <v>107</v>
      </c>
    </row>
    <row r="37" spans="1:19" x14ac:dyDescent="0.35">
      <c r="A37" t="s">
        <v>108</v>
      </c>
    </row>
    <row r="38" spans="1:19" x14ac:dyDescent="0.35">
      <c r="A38" t="s">
        <v>109</v>
      </c>
      <c r="Q38">
        <v>0</v>
      </c>
      <c r="R38">
        <v>0</v>
      </c>
      <c r="S38">
        <v>0</v>
      </c>
    </row>
    <row r="39" spans="1:19" x14ac:dyDescent="0.35">
      <c r="A39" t="s">
        <v>110</v>
      </c>
      <c r="Q39">
        <v>-3.52</v>
      </c>
      <c r="R39">
        <v>-1.98</v>
      </c>
      <c r="S39">
        <v>-0.17</v>
      </c>
    </row>
    <row r="40" spans="1:19" x14ac:dyDescent="0.35">
      <c r="A40" t="s">
        <v>111</v>
      </c>
      <c r="B40">
        <v>16416.32</v>
      </c>
      <c r="C40">
        <v>17821.400000000001</v>
      </c>
      <c r="D40">
        <v>19340.400000000001</v>
      </c>
      <c r="E40">
        <v>18861.25</v>
      </c>
      <c r="F40">
        <v>14750.44</v>
      </c>
      <c r="G40">
        <v>16451.580000000002</v>
      </c>
      <c r="H40">
        <v>14321.65</v>
      </c>
      <c r="I40">
        <v>12562.56</v>
      </c>
      <c r="J40">
        <v>9305.17</v>
      </c>
      <c r="K40">
        <v>9206.9599999999991</v>
      </c>
      <c r="L40">
        <v>6150.45</v>
      </c>
      <c r="M40">
        <v>4920.26</v>
      </c>
      <c r="N40">
        <v>3705.14</v>
      </c>
      <c r="O40">
        <v>2515.48</v>
      </c>
      <c r="P40">
        <v>854.99</v>
      </c>
    </row>
    <row r="41" spans="1:19" x14ac:dyDescent="0.35">
      <c r="A41" t="s">
        <v>112</v>
      </c>
      <c r="B41">
        <v>24567.74</v>
      </c>
      <c r="C41">
        <v>25300.19</v>
      </c>
      <c r="D41">
        <v>24968</v>
      </c>
      <c r="E41">
        <v>23880.12</v>
      </c>
      <c r="F41">
        <v>19305.03</v>
      </c>
      <c r="G41">
        <v>21551.56</v>
      </c>
      <c r="H41">
        <v>18996.830000000002</v>
      </c>
      <c r="I41">
        <v>16630.66</v>
      </c>
      <c r="J41">
        <v>13132.73</v>
      </c>
      <c r="K41">
        <v>13136.63</v>
      </c>
      <c r="L41">
        <v>8964.19</v>
      </c>
      <c r="M41">
        <v>8163.58</v>
      </c>
      <c r="N41">
        <v>6748.71</v>
      </c>
      <c r="O41">
        <v>5519.53</v>
      </c>
      <c r="P41">
        <v>4194.72</v>
      </c>
      <c r="Q41">
        <v>1700.11</v>
      </c>
      <c r="R41">
        <v>654.5</v>
      </c>
      <c r="S41">
        <v>755.78</v>
      </c>
    </row>
    <row r="42" spans="1:19" x14ac:dyDescent="0.35">
      <c r="A42" t="s">
        <v>113</v>
      </c>
      <c r="B42">
        <v>2100</v>
      </c>
      <c r="C42">
        <v>800</v>
      </c>
      <c r="D42">
        <v>1400</v>
      </c>
      <c r="E42">
        <v>1400</v>
      </c>
      <c r="F42">
        <v>1400</v>
      </c>
      <c r="G42">
        <v>1200</v>
      </c>
      <c r="H42">
        <v>600</v>
      </c>
      <c r="I42">
        <v>600</v>
      </c>
      <c r="J42">
        <v>550</v>
      </c>
      <c r="K42">
        <v>550</v>
      </c>
      <c r="L42">
        <v>500</v>
      </c>
      <c r="M42">
        <v>500</v>
      </c>
      <c r="N42">
        <v>450</v>
      </c>
      <c r="O42">
        <v>450</v>
      </c>
      <c r="P42">
        <v>400</v>
      </c>
      <c r="Q42">
        <v>400</v>
      </c>
      <c r="R42">
        <v>220</v>
      </c>
      <c r="S42">
        <v>200</v>
      </c>
    </row>
    <row r="43" spans="1:19" x14ac:dyDescent="0.35">
      <c r="A43" t="s">
        <v>114</v>
      </c>
      <c r="B43">
        <v>291.89</v>
      </c>
      <c r="C43">
        <v>267.88</v>
      </c>
      <c r="D43">
        <v>198.88</v>
      </c>
      <c r="E43">
        <v>173.44</v>
      </c>
      <c r="F43">
        <v>157.4</v>
      </c>
      <c r="G43">
        <v>176.24</v>
      </c>
      <c r="H43">
        <v>161.56</v>
      </c>
      <c r="I43">
        <v>140.58000000000001</v>
      </c>
      <c r="J43">
        <v>132.27000000000001</v>
      </c>
      <c r="K43">
        <v>135.80000000000001</v>
      </c>
      <c r="L43">
        <v>97.24</v>
      </c>
      <c r="M43">
        <v>112.08</v>
      </c>
      <c r="N43">
        <v>105.18</v>
      </c>
      <c r="O43">
        <v>103.81</v>
      </c>
      <c r="P43">
        <v>115.41</v>
      </c>
      <c r="Q43">
        <v>117.75</v>
      </c>
      <c r="R43">
        <v>45.37</v>
      </c>
      <c r="S43">
        <v>52.25</v>
      </c>
    </row>
    <row r="44" spans="1:19" x14ac:dyDescent="0.35">
      <c r="A44" t="s">
        <v>115</v>
      </c>
      <c r="B44">
        <v>291.89</v>
      </c>
      <c r="C44">
        <v>267.88</v>
      </c>
      <c r="D44">
        <v>198.88</v>
      </c>
      <c r="E44">
        <v>173.44</v>
      </c>
      <c r="F44">
        <v>157.4</v>
      </c>
      <c r="G44">
        <v>176.24</v>
      </c>
      <c r="H44">
        <v>161.56</v>
      </c>
      <c r="I44">
        <v>140.58000000000001</v>
      </c>
      <c r="J44">
        <v>132.27000000000001</v>
      </c>
      <c r="K44">
        <v>135.80000000000001</v>
      </c>
      <c r="L44">
        <v>97.24</v>
      </c>
      <c r="M44">
        <v>112.08</v>
      </c>
      <c r="N44">
        <v>105.18</v>
      </c>
      <c r="O44">
        <v>103.81</v>
      </c>
      <c r="P44">
        <v>115.41</v>
      </c>
      <c r="Q44">
        <v>58.88</v>
      </c>
      <c r="R44">
        <v>22.69</v>
      </c>
      <c r="S44">
        <v>26.12</v>
      </c>
    </row>
    <row r="45" spans="1:19" x14ac:dyDescent="0.35">
      <c r="A45" t="s">
        <v>116</v>
      </c>
      <c r="B45">
        <v>292.10000000000002</v>
      </c>
      <c r="C45">
        <v>264.60000000000002</v>
      </c>
      <c r="D45">
        <v>197.3</v>
      </c>
      <c r="E45">
        <v>173.6</v>
      </c>
      <c r="F45">
        <v>157.5</v>
      </c>
      <c r="G45">
        <v>176.3</v>
      </c>
      <c r="H45">
        <v>161.6</v>
      </c>
      <c r="I45">
        <v>140.6</v>
      </c>
      <c r="J45">
        <v>132.30000000000001</v>
      </c>
      <c r="K45">
        <v>135.80000000000001</v>
      </c>
      <c r="L45">
        <v>97.2</v>
      </c>
      <c r="M45">
        <v>112.1</v>
      </c>
      <c r="N45">
        <v>105.2</v>
      </c>
      <c r="O45">
        <v>103.8</v>
      </c>
      <c r="P45">
        <v>115.4</v>
      </c>
      <c r="R45">
        <v>45.2</v>
      </c>
      <c r="S45">
        <v>54.2</v>
      </c>
    </row>
    <row r="46" spans="1:19" x14ac:dyDescent="0.35">
      <c r="A46" t="s">
        <v>117</v>
      </c>
      <c r="B46">
        <v>291.5</v>
      </c>
      <c r="C46">
        <v>264.3</v>
      </c>
      <c r="D46">
        <v>197.3</v>
      </c>
      <c r="E46">
        <v>173.6</v>
      </c>
      <c r="F46">
        <v>157.5</v>
      </c>
      <c r="G46">
        <v>176.3</v>
      </c>
      <c r="H46">
        <v>161.6</v>
      </c>
      <c r="I46">
        <v>140.6</v>
      </c>
      <c r="J46">
        <v>132.30000000000001</v>
      </c>
      <c r="K46">
        <v>135.80000000000001</v>
      </c>
      <c r="L46">
        <v>97.2</v>
      </c>
      <c r="M46">
        <v>112.1</v>
      </c>
      <c r="N46">
        <v>105.2</v>
      </c>
      <c r="O46">
        <v>103.8</v>
      </c>
      <c r="P46">
        <v>115.4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CBBE-622E-468C-BE6D-876371444A8A}">
  <dimension ref="A1:S21"/>
  <sheetViews>
    <sheetView workbookViewId="0">
      <selection activeCell="A4" sqref="A4"/>
    </sheetView>
  </sheetViews>
  <sheetFormatPr defaultRowHeight="14.5" x14ac:dyDescent="0.35"/>
  <cols>
    <col min="1" max="1" width="60.54296875" bestFit="1" customWidth="1"/>
  </cols>
  <sheetData>
    <row r="1" spans="1:19" x14ac:dyDescent="0.35">
      <c r="A1" t="s">
        <v>118</v>
      </c>
    </row>
    <row r="2" spans="1:1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t="s">
        <v>20</v>
      </c>
    </row>
    <row r="4" spans="1:19" x14ac:dyDescent="0.35">
      <c r="A4" t="s">
        <v>102</v>
      </c>
      <c r="B4">
        <v>11051.89</v>
      </c>
      <c r="C4">
        <v>9822.01</v>
      </c>
      <c r="D4">
        <v>7408.64</v>
      </c>
      <c r="E4">
        <v>6505.33</v>
      </c>
      <c r="F4">
        <v>5939</v>
      </c>
      <c r="G4">
        <v>6580.2</v>
      </c>
      <c r="H4">
        <v>6703.16</v>
      </c>
      <c r="I4">
        <v>5782.57</v>
      </c>
      <c r="J4">
        <v>5335.63</v>
      </c>
      <c r="K4">
        <v>5547.32</v>
      </c>
      <c r="L4">
        <v>4084.79</v>
      </c>
      <c r="M4">
        <v>4632.05</v>
      </c>
      <c r="N4">
        <v>4266.2299999999996</v>
      </c>
      <c r="O4">
        <v>4026.17</v>
      </c>
      <c r="P4">
        <v>4347.75</v>
      </c>
      <c r="Q4">
        <v>2411.13</v>
      </c>
      <c r="R4">
        <v>958.09</v>
      </c>
    </row>
    <row r="5" spans="1:19" x14ac:dyDescent="0.35">
      <c r="A5" t="s">
        <v>119</v>
      </c>
      <c r="B5">
        <v>-861.87</v>
      </c>
      <c r="C5">
        <v>-963.35</v>
      </c>
      <c r="D5">
        <v>-701.37</v>
      </c>
      <c r="E5">
        <v>-1196.79</v>
      </c>
      <c r="F5">
        <v>-974.64</v>
      </c>
      <c r="G5">
        <v>-1417.04</v>
      </c>
      <c r="H5">
        <v>-1450.93</v>
      </c>
      <c r="I5">
        <v>-858.96</v>
      </c>
      <c r="J5">
        <v>-719.61</v>
      </c>
      <c r="K5">
        <v>-619.07000000000005</v>
      </c>
      <c r="L5">
        <v>-38.29</v>
      </c>
      <c r="M5">
        <v>-176.28</v>
      </c>
      <c r="N5">
        <v>-371.16</v>
      </c>
      <c r="O5">
        <v>-16.3</v>
      </c>
      <c r="P5">
        <v>-938.26</v>
      </c>
      <c r="Q5">
        <v>176.12</v>
      </c>
      <c r="R5">
        <v>250.15</v>
      </c>
    </row>
    <row r="6" spans="1:19" x14ac:dyDescent="0.35">
      <c r="A6" t="s">
        <v>120</v>
      </c>
      <c r="B6">
        <v>-242.94</v>
      </c>
      <c r="C6">
        <v>1002.23</v>
      </c>
      <c r="D6">
        <v>723.03</v>
      </c>
      <c r="E6">
        <v>600.57000000000005</v>
      </c>
      <c r="F6">
        <v>-510.81</v>
      </c>
      <c r="G6">
        <v>376.26</v>
      </c>
      <c r="H6">
        <v>-798.36</v>
      </c>
      <c r="I6">
        <v>1022.26</v>
      </c>
      <c r="J6">
        <v>225.76</v>
      </c>
      <c r="K6">
        <v>548.03</v>
      </c>
      <c r="L6">
        <v>-613.78</v>
      </c>
      <c r="M6">
        <v>403.85</v>
      </c>
      <c r="N6">
        <v>-521.29999999999995</v>
      </c>
      <c r="O6">
        <v>331.57</v>
      </c>
      <c r="P6">
        <v>-821.52</v>
      </c>
      <c r="Q6">
        <v>849.75</v>
      </c>
      <c r="R6">
        <v>-474.41</v>
      </c>
    </row>
    <row r="7" spans="1:19" x14ac:dyDescent="0.35">
      <c r="A7" t="s">
        <v>121</v>
      </c>
      <c r="B7">
        <v>9947.08</v>
      </c>
      <c r="C7">
        <v>9860.89</v>
      </c>
      <c r="D7">
        <v>7430.3</v>
      </c>
      <c r="E7">
        <v>5909.11</v>
      </c>
      <c r="F7">
        <v>4453.55</v>
      </c>
      <c r="G7">
        <v>5539.42</v>
      </c>
      <c r="H7">
        <v>4453.87</v>
      </c>
      <c r="I7">
        <v>5945.87</v>
      </c>
      <c r="J7">
        <v>4841.78</v>
      </c>
      <c r="K7">
        <v>5476.28</v>
      </c>
      <c r="L7">
        <v>3432.72</v>
      </c>
      <c r="M7">
        <v>4859.62</v>
      </c>
      <c r="N7">
        <v>3373.77</v>
      </c>
      <c r="O7">
        <v>4341.4399999999996</v>
      </c>
      <c r="P7">
        <v>2587.9699999999998</v>
      </c>
      <c r="Q7">
        <v>3437</v>
      </c>
      <c r="R7">
        <v>733.83</v>
      </c>
    </row>
    <row r="8" spans="1:19" x14ac:dyDescent="0.35">
      <c r="A8" t="s">
        <v>122</v>
      </c>
    </row>
    <row r="9" spans="1:19" x14ac:dyDescent="0.35">
      <c r="A9" t="s">
        <v>123</v>
      </c>
      <c r="B9">
        <v>-2680.35</v>
      </c>
      <c r="C9">
        <v>-2382.62</v>
      </c>
      <c r="D9">
        <v>-1918.41</v>
      </c>
      <c r="E9">
        <v>-1701.54</v>
      </c>
      <c r="F9">
        <v>-1339.69</v>
      </c>
      <c r="G9">
        <v>-1677.66</v>
      </c>
      <c r="H9">
        <v>-1964.34</v>
      </c>
      <c r="I9">
        <v>-1685.08</v>
      </c>
      <c r="J9">
        <v>-1502.58</v>
      </c>
      <c r="K9">
        <v>-1819.47</v>
      </c>
      <c r="L9">
        <v>-1285.4000000000001</v>
      </c>
      <c r="M9">
        <v>-1313.91</v>
      </c>
      <c r="N9">
        <v>-1239.4000000000001</v>
      </c>
      <c r="O9">
        <v>-1148.27</v>
      </c>
      <c r="P9">
        <v>-974.25</v>
      </c>
      <c r="Q9">
        <v>-699.89</v>
      </c>
      <c r="R9">
        <v>-321.26</v>
      </c>
    </row>
    <row r="10" spans="1:19" x14ac:dyDescent="0.35">
      <c r="A10" t="s">
        <v>124</v>
      </c>
    </row>
    <row r="11" spans="1:19" x14ac:dyDescent="0.35">
      <c r="A11" t="s">
        <v>125</v>
      </c>
    </row>
    <row r="12" spans="1:19" x14ac:dyDescent="0.35">
      <c r="A12" t="s">
        <v>126</v>
      </c>
      <c r="B12">
        <v>7266.73</v>
      </c>
      <c r="C12">
        <v>7478.27</v>
      </c>
      <c r="D12">
        <v>5511.89</v>
      </c>
      <c r="E12">
        <v>4207.57</v>
      </c>
      <c r="F12">
        <v>3113.86</v>
      </c>
      <c r="G12">
        <v>3861.76</v>
      </c>
      <c r="H12">
        <v>2489.5300000000002</v>
      </c>
      <c r="I12">
        <v>4260.79</v>
      </c>
      <c r="J12">
        <v>3339.2</v>
      </c>
      <c r="K12">
        <v>3656.81</v>
      </c>
      <c r="L12">
        <v>2147.3200000000002</v>
      </c>
      <c r="M12">
        <v>3545.71</v>
      </c>
      <c r="N12">
        <v>2134.37</v>
      </c>
      <c r="O12">
        <v>3193.17</v>
      </c>
      <c r="P12">
        <v>1613.72</v>
      </c>
      <c r="Q12">
        <v>2737.11</v>
      </c>
      <c r="R12">
        <v>412.57</v>
      </c>
    </row>
    <row r="13" spans="1:19" x14ac:dyDescent="0.35">
      <c r="A13" t="s">
        <v>127</v>
      </c>
      <c r="B13">
        <v>-3640.98</v>
      </c>
      <c r="C13">
        <v>-139.22</v>
      </c>
      <c r="D13">
        <v>1333.81</v>
      </c>
      <c r="E13">
        <v>-95.95</v>
      </c>
      <c r="F13">
        <v>-2865.35</v>
      </c>
      <c r="G13">
        <v>1754.54</v>
      </c>
      <c r="H13">
        <v>-244.08</v>
      </c>
      <c r="I13">
        <v>-1918.02</v>
      </c>
      <c r="J13">
        <v>-3688.31</v>
      </c>
      <c r="K13">
        <v>-18.829999999999998</v>
      </c>
      <c r="L13">
        <v>-414.35</v>
      </c>
      <c r="M13">
        <v>-2141.4899999999998</v>
      </c>
      <c r="N13">
        <v>-1277.76</v>
      </c>
      <c r="O13">
        <v>-681.91</v>
      </c>
      <c r="P13">
        <v>-623.19000000000005</v>
      </c>
      <c r="Q13">
        <v>-2163.62</v>
      </c>
      <c r="R13">
        <v>-208.74</v>
      </c>
    </row>
    <row r="14" spans="1:19" x14ac:dyDescent="0.35">
      <c r="A14" t="s">
        <v>128</v>
      </c>
      <c r="B14">
        <v>-3254.23</v>
      </c>
      <c r="C14">
        <v>-7110.05</v>
      </c>
      <c r="D14">
        <v>-7178.86</v>
      </c>
      <c r="E14">
        <v>-4056.33</v>
      </c>
      <c r="F14">
        <v>-19.52</v>
      </c>
      <c r="G14">
        <v>-6246.51</v>
      </c>
      <c r="H14">
        <v>-2074.0500000000002</v>
      </c>
      <c r="I14">
        <v>-1885.26</v>
      </c>
      <c r="J14">
        <v>-190.09</v>
      </c>
      <c r="K14">
        <v>-3384.08</v>
      </c>
      <c r="L14">
        <v>-1644.18</v>
      </c>
      <c r="M14">
        <v>-1468.22</v>
      </c>
      <c r="N14">
        <v>-1479.08</v>
      </c>
      <c r="O14">
        <v>-1564.38</v>
      </c>
      <c r="P14">
        <v>-861.99</v>
      </c>
      <c r="Q14">
        <v>-608.95000000000005</v>
      </c>
      <c r="R14">
        <v>-123.03</v>
      </c>
    </row>
    <row r="15" spans="1:19" x14ac:dyDescent="0.35">
      <c r="A15" t="s">
        <v>129</v>
      </c>
      <c r="B15">
        <v>371.52</v>
      </c>
      <c r="C15">
        <v>229</v>
      </c>
      <c r="D15">
        <v>-333.16</v>
      </c>
      <c r="E15">
        <v>55.29</v>
      </c>
      <c r="F15">
        <v>228.99</v>
      </c>
      <c r="G15">
        <v>-630.21</v>
      </c>
      <c r="H15">
        <v>171.4</v>
      </c>
      <c r="I15">
        <v>457.51</v>
      </c>
      <c r="J15">
        <v>-539.20000000000005</v>
      </c>
      <c r="K15">
        <v>253.9</v>
      </c>
      <c r="L15">
        <v>88.79</v>
      </c>
      <c r="M15">
        <v>-64</v>
      </c>
      <c r="N15">
        <v>-622.47</v>
      </c>
      <c r="O15">
        <v>946.88</v>
      </c>
      <c r="P15">
        <v>128.54</v>
      </c>
      <c r="Q15">
        <v>-35.46</v>
      </c>
      <c r="R15">
        <v>80.8</v>
      </c>
    </row>
    <row r="16" spans="1:19" x14ac:dyDescent="0.35">
      <c r="A16" t="s">
        <v>130</v>
      </c>
      <c r="B16">
        <v>448.61</v>
      </c>
      <c r="C16">
        <v>219.42</v>
      </c>
      <c r="D16">
        <v>563.97</v>
      </c>
      <c r="E16">
        <v>505.13</v>
      </c>
      <c r="F16">
        <v>277.33</v>
      </c>
      <c r="G16">
        <v>905.38</v>
      </c>
      <c r="H16">
        <v>760.94</v>
      </c>
      <c r="I16">
        <v>279.82</v>
      </c>
      <c r="J16">
        <v>817.55</v>
      </c>
      <c r="K16">
        <v>575.07000000000005</v>
      </c>
      <c r="L16">
        <v>486.28</v>
      </c>
      <c r="M16">
        <v>550.28</v>
      </c>
      <c r="N16">
        <v>1172.75</v>
      </c>
      <c r="O16">
        <v>225.87</v>
      </c>
      <c r="P16">
        <v>100.2</v>
      </c>
      <c r="Q16">
        <v>136.87</v>
      </c>
      <c r="R16">
        <v>56.07</v>
      </c>
    </row>
    <row r="17" spans="1:18" x14ac:dyDescent="0.35">
      <c r="A17" t="s">
        <v>131</v>
      </c>
    </row>
    <row r="18" spans="1:18" x14ac:dyDescent="0.35">
      <c r="A18" t="s">
        <v>132</v>
      </c>
    </row>
    <row r="19" spans="1:18" x14ac:dyDescent="0.35">
      <c r="A19" t="s">
        <v>133</v>
      </c>
    </row>
    <row r="20" spans="1:18" x14ac:dyDescent="0.35">
      <c r="A20" t="s">
        <v>134</v>
      </c>
      <c r="B20">
        <v>-6.71</v>
      </c>
      <c r="C20">
        <v>0.19</v>
      </c>
      <c r="D20">
        <v>-11.39</v>
      </c>
      <c r="E20">
        <v>3.55</v>
      </c>
      <c r="F20">
        <v>-1.19</v>
      </c>
      <c r="G20">
        <v>2.16</v>
      </c>
      <c r="H20">
        <v>-26.96</v>
      </c>
      <c r="I20">
        <v>23.61</v>
      </c>
      <c r="J20">
        <v>1.47</v>
      </c>
      <c r="K20">
        <v>-11.42</v>
      </c>
    </row>
    <row r="21" spans="1:18" x14ac:dyDescent="0.35">
      <c r="A21" t="s">
        <v>135</v>
      </c>
      <c r="B21">
        <v>813.42</v>
      </c>
      <c r="C21">
        <v>448.61</v>
      </c>
      <c r="D21">
        <v>219.42</v>
      </c>
      <c r="E21">
        <v>563.97</v>
      </c>
      <c r="F21">
        <v>505.13</v>
      </c>
      <c r="G21">
        <v>277.33</v>
      </c>
      <c r="H21">
        <v>905.38</v>
      </c>
      <c r="I21">
        <v>760.94</v>
      </c>
      <c r="J21">
        <v>279.82</v>
      </c>
      <c r="K21">
        <v>817.55</v>
      </c>
      <c r="L21">
        <v>575.07000000000005</v>
      </c>
      <c r="M21">
        <v>486.28</v>
      </c>
      <c r="N21">
        <v>550.28</v>
      </c>
      <c r="O21">
        <v>1172.75</v>
      </c>
      <c r="P21">
        <v>228.74</v>
      </c>
      <c r="Q21">
        <v>101.41</v>
      </c>
      <c r="R21">
        <v>136.87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Cover_Page</vt:lpstr>
      <vt:lpstr>DCF</vt:lpstr>
      <vt:lpstr>FCFF_Projections</vt:lpstr>
      <vt:lpstr>WACC</vt:lpstr>
      <vt:lpstr>Net_Working_Capital</vt:lpstr>
      <vt:lpstr>Fixed_Assets</vt:lpstr>
      <vt:lpstr>Risk-free_rate</vt:lpstr>
      <vt:lpstr>Beta_Calculation</vt:lpstr>
      <vt:lpstr>Balance_Sheet (5 years)</vt:lpstr>
      <vt:lpstr>Income_Statement (5 years)</vt:lpstr>
      <vt:lpstr>Cash_Flows (5 years)</vt:lpstr>
      <vt:lpstr>Balance_Sheet</vt:lpstr>
      <vt:lpstr>Income_Statement</vt:lpstr>
      <vt:lpstr>Cash_Flows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Raizada</dc:creator>
  <cp:lastModifiedBy>Shrishti Raizada</cp:lastModifiedBy>
  <dcterms:created xsi:type="dcterms:W3CDTF">2025-08-09T10:06:33Z</dcterms:created>
  <dcterms:modified xsi:type="dcterms:W3CDTF">2025-09-14T10:42:08Z</dcterms:modified>
</cp:coreProperties>
</file>